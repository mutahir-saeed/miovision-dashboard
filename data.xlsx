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jali" sheetId="1" r:id="rId5"/>
    <sheet state="visible" name="Dhara" sheetId="2" r:id="rId6"/>
    <sheet state="visible" name="Javeria" sheetId="3" r:id="rId7"/>
    <sheet state="visible" name="Fasih" sheetId="4" r:id="rId8"/>
    <sheet state="visible" name="Jigar" sheetId="5" r:id="rId9"/>
    <sheet state="visible" name="Sohaib" sheetId="6" r:id="rId10"/>
    <sheet state="visible" name="Shahmeer" sheetId="7" r:id="rId11"/>
    <sheet state="visible" name="Sailesh" sheetId="8" r:id="rId12"/>
    <sheet state="visible" name="Raza" sheetId="9" r:id="rId13"/>
    <sheet state="visible" name="Nirali" sheetId="10" r:id="rId14"/>
    <sheet state="visible" name="Mutahir" sheetId="11" r:id="rId15"/>
    <sheet state="visible" name="Rutvik" sheetId="12" r:id="rId16"/>
    <sheet state="visible" name="Muhammad" sheetId="13" r:id="rId17"/>
    <sheet state="visible" name="Laraib" sheetId="14" r:id="rId18"/>
    <sheet state="visible" name="Viraj" sheetId="15" r:id="rId19"/>
    <sheet state="visible" name="Wajeeh" sheetId="16" r:id="rId20"/>
    <sheet state="visible" name="Zahid" sheetId="17" r:id="rId21"/>
    <sheet state="visible" name="Zainab" sheetId="18" r:id="rId22"/>
    <sheet state="visible" name="Zeeshan" sheetId="19" r:id="rId23"/>
    <sheet state="visible" name="Reference" sheetId="20" r:id="rId24"/>
  </sheets>
  <definedNames>
    <definedName name="Topology_Coding">Reference!$B$2:$B$10</definedName>
    <definedName name="Additional_Tasks">Reference!$D$2:$D$10</definedName>
    <definedName name="Field_Testing">Reference!$C$2:$C$10</definedName>
    <definedName name="Manual_TPfC">Reference!$A$2:$A$10</definedName>
  </definedNames>
  <calcPr/>
</workbook>
</file>

<file path=xl/sharedStrings.xml><?xml version="1.0" encoding="utf-8"?>
<sst xmlns="http://schemas.openxmlformats.org/spreadsheetml/2006/main" count="1853" uniqueCount="70">
  <si>
    <t>KW</t>
  </si>
  <si>
    <t>Holiday OR Weekend</t>
  </si>
  <si>
    <t>Day</t>
  </si>
  <si>
    <t>Date</t>
  </si>
  <si>
    <t>Project</t>
  </si>
  <si>
    <t>Task</t>
  </si>
  <si>
    <t>Duration (Hrs)</t>
  </si>
  <si>
    <t>No. of Signals</t>
  </si>
  <si>
    <t>Time per Signal (mins)</t>
  </si>
  <si>
    <t>Notes</t>
  </si>
  <si>
    <t>Urlaub</t>
  </si>
  <si>
    <t>Topology_Coding</t>
  </si>
  <si>
    <t>Norway</t>
  </si>
  <si>
    <t>Switzerland</t>
  </si>
  <si>
    <t>UK</t>
  </si>
  <si>
    <t># of Signals</t>
  </si>
  <si>
    <t>Manual_TPfC</t>
  </si>
  <si>
    <t>TPfC Phase 3</t>
  </si>
  <si>
    <t>TPfC Phase 4</t>
  </si>
  <si>
    <t>Field_Testing</t>
  </si>
  <si>
    <t>TPfC - Test Suite</t>
  </si>
  <si>
    <t>Additional_Tasks</t>
  </si>
  <si>
    <t>Audi Crossings QC</t>
  </si>
  <si>
    <t>TPFC Bayreuth, Bielefeld</t>
  </si>
  <si>
    <t>Barcelona Plans</t>
  </si>
  <si>
    <t>Signal phasing</t>
  </si>
  <si>
    <t>Italy invistigation</t>
  </si>
  <si>
    <t>Others (Specify in "Notes")</t>
  </si>
  <si>
    <t>TPFC QC Boeblingen, Braunschweig</t>
  </si>
  <si>
    <t>TPFC QC Braunschweig</t>
  </si>
  <si>
    <t>TPFC QC Bremen</t>
  </si>
  <si>
    <t>Field test Nurnberg</t>
  </si>
  <si>
    <t>TPFC QC Darmstadt</t>
  </si>
  <si>
    <t>TPFC QC Darmstadt, Duisburg</t>
  </si>
  <si>
    <t>TPFC QC Duisburg</t>
  </si>
  <si>
    <t>TPFC QC Duisburg, Herne</t>
  </si>
  <si>
    <t>TPFC QC Herne</t>
  </si>
  <si>
    <t>TPFC Neumuenster, Trier</t>
  </si>
  <si>
    <t>TPFC QC Krefeld</t>
  </si>
  <si>
    <t>TPFC QC Krefeld/Nordrhein Westfalen</t>
  </si>
  <si>
    <t>TPFC QC Nordrhein Westfalen</t>
  </si>
  <si>
    <t>TPFC Mailand</t>
  </si>
  <si>
    <t>Automaps Generator</t>
  </si>
  <si>
    <t>Krank</t>
  </si>
  <si>
    <t xml:space="preserve">18 Signals are from Norway </t>
  </si>
  <si>
    <t>6 from SWZ Appenzell Ausserrhoden</t>
  </si>
  <si>
    <t>Netherlands</t>
  </si>
  <si>
    <t>K</t>
  </si>
  <si>
    <t>Public Holidays</t>
  </si>
  <si>
    <t>Thursday</t>
  </si>
  <si>
    <t>New Year’s Day</t>
  </si>
  <si>
    <t>Tuesday</t>
  </si>
  <si>
    <t>Epiphany</t>
  </si>
  <si>
    <t>Friday</t>
  </si>
  <si>
    <t>Good Friday</t>
  </si>
  <si>
    <t>Monday</t>
  </si>
  <si>
    <t>Easter Monday</t>
  </si>
  <si>
    <t>Labour Day</t>
  </si>
  <si>
    <t>Ascension Day</t>
  </si>
  <si>
    <t>Whit Monday</t>
  </si>
  <si>
    <t>Corpus Christi</t>
  </si>
  <si>
    <t>Saturday</t>
  </si>
  <si>
    <t>Assumption Day</t>
  </si>
  <si>
    <t>Day of German Unity</t>
  </si>
  <si>
    <t>Sunday</t>
  </si>
  <si>
    <t>All Saints’ Day</t>
  </si>
  <si>
    <t>Christmas Eve*</t>
  </si>
  <si>
    <t>Christmas Day</t>
  </si>
  <si>
    <t>2nd Day of Christmas</t>
  </si>
  <si>
    <t>New Year's Eve*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</si>
</sst>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[hh]:mm"/>
    <numFmt numFmtId="166" formatCode="m/d/yyyy"/>
    <numFmt numFmtId="167" formatCode="yyyy&quot;-&quot;mm&quot;-&quot;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Font="1"/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166" xfId="0" applyFont="1" applyNumberFormat="1"/>
    <xf borderId="1" fillId="0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Font="1"/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3" fillId="0" fontId="2" numFmtId="0" xfId="0" applyAlignment="1" applyBorder="1" applyFont="1">
      <alignment horizontal="left" readingOrder="0"/>
    </xf>
    <xf borderId="4" fillId="0" fontId="2" numFmtId="0" xfId="0" applyBorder="1" applyFont="1"/>
    <xf borderId="5" fillId="0" fontId="2" numFmtId="0" xfId="0" applyBorder="1" applyFont="1"/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horizontal="left" readingOrder="0"/>
    </xf>
    <xf borderId="6" fillId="0" fontId="2" numFmtId="0" xfId="0" applyBorder="1" applyFont="1"/>
    <xf borderId="5" fillId="0" fontId="2" numFmtId="0" xfId="0" applyAlignment="1" applyBorder="1" applyFont="1">
      <alignment readingOrder="0"/>
    </xf>
    <xf borderId="0" fillId="0" fontId="2" numFmtId="0" xfId="0" applyFont="1"/>
    <xf borderId="5" fillId="0" fontId="2" numFmtId="0" xfId="0" applyBorder="1" applyFont="1"/>
    <xf borderId="5" fillId="0" fontId="2" numFmtId="166" xfId="0" applyAlignment="1" applyBorder="1" applyFont="1" applyNumberFormat="1">
      <alignment horizontal="left" readingOrder="0"/>
    </xf>
    <xf borderId="7" fillId="0" fontId="2" numFmtId="166" xfId="0" applyAlignment="1" applyBorder="1" applyFont="1" applyNumberFormat="1">
      <alignment horizontal="left" readingOrder="0"/>
    </xf>
    <xf borderId="8" fillId="0" fontId="2" numFmtId="0" xfId="0" applyBorder="1" applyFont="1"/>
    <xf borderId="8" fillId="0" fontId="2" numFmtId="166" xfId="0" applyAlignment="1" applyBorder="1" applyFont="1" applyNumberFormat="1">
      <alignment horizontal="left" readingOrder="0"/>
    </xf>
    <xf borderId="9" fillId="0" fontId="2" numFmtId="0" xfId="0" applyBorder="1" applyFont="1"/>
    <xf borderId="2" fillId="0" fontId="2" numFmtId="0" xfId="0" applyAlignment="1" applyBorder="1" applyFont="1">
      <alignment horizontal="left" readingOrder="0"/>
    </xf>
    <xf borderId="5" fillId="0" fontId="2" numFmtId="167" xfId="0" applyAlignment="1" applyBorder="1" applyFont="1" applyNumberFormat="1">
      <alignment horizontal="left" readingOrder="0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3" fillId="0" fontId="2" numFmtId="0" xfId="0" applyAlignment="1" applyBorder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CCCC"/>
          <bgColor rgb="FFCCCCCC"/>
        </patternFill>
      </fill>
      <border/>
    </dxf>
  </dxfs>
  <tableStyles count="19">
    <tableStyle count="4" pivot="0" name="Anja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h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ve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si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ig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hai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ahme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iles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ra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tah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tv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hamm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rai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ra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jee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ah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aina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eesh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46" displayName="Anjali" name="Anjali" id="1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No. of Signals" id="8"/>
    <tableColumn name="Time per Signal (mins)" id="9"/>
    <tableColumn name="Notes" id="10"/>
  </tableColumns>
  <tableStyleInfo name="Anjali-style" showColumnStripes="0" showFirstColumn="1" showLastColumn="1" showRowStripes="1"/>
</table>
</file>

<file path=xl/tables/table2.xml><?xml version="1.0" encoding="utf-8"?>
<table xmlns="http://schemas.openxmlformats.org/spreadsheetml/2006/main" ref="A1:J246" displayName="Dhara" name="Dhara" id="2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Dhara-style" showColumnStripes="0" showFirstColumn="1" showLastColumn="1" showRowStripes="1"/>
</table>
</file>

<file path=xl/tables/table3.xml><?xml version="1.0" encoding="utf-8"?>
<table xmlns="http://schemas.openxmlformats.org/spreadsheetml/2006/main" ref="A1:J246" displayName="Javeria" name="Javeria" id="3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Javeria-style" showColumnStripes="0" showFirstColumn="1" showLastColumn="1" showRowStripes="1"/>
</table>
</file>

<file path=xl/tables/table4.xml><?xml version="1.0" encoding="utf-8"?>
<table xmlns="http://schemas.openxmlformats.org/spreadsheetml/2006/main" ref="A1:J246" displayName="Fasih" name="Fasih" id="4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Fasih-style" showColumnStripes="0" showFirstColumn="1" showLastColumn="1" showRowStripes="1"/>
</table>
</file>

<file path=xl/tables/table5.xml><?xml version="1.0" encoding="utf-8"?>
<table xmlns="http://schemas.openxmlformats.org/spreadsheetml/2006/main" ref="A1:J246" displayName="Jigar" name="Jigar" id="5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Jigar-style" showColumnStripes="0" showFirstColumn="1" showLastColumn="1" showRowStripes="1"/>
</table>
</file>

<file path=xl/tables/table6.xml><?xml version="1.0" encoding="utf-8"?>
<table xmlns="http://schemas.openxmlformats.org/spreadsheetml/2006/main" ref="A1:J246" displayName="Sohaib" name="Sohaib" id="6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Sohaib-style" showColumnStripes="0" showFirstColumn="1" showLastColumn="1" showRowStripes="1"/>
</table>
</file>

<file path=xl/tables/table7.xml><?xml version="1.0" encoding="utf-8"?>
<table xmlns="http://schemas.openxmlformats.org/spreadsheetml/2006/main" ref="A1:J246" displayName="Shahmeer" name="Shahmeer" id="7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Shahmeer-style" showColumnStripes="0" showFirstColumn="1" showLastColumn="1" showRowStripes="1"/>
</table>
</file>

<file path=xl/tables/table8.xml><?xml version="1.0" encoding="utf-8"?>
<table xmlns="http://schemas.openxmlformats.org/spreadsheetml/2006/main" ref="A1:J246" displayName="Sailesh" name="Sailesh" id="8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Sailesh-style" showColumnStripes="0" showFirstColumn="1" showLastColumn="1" showRowStripes="1"/>
</table>
</file>

<file path=xl/tables/table9.xml><?xml version="1.0" encoding="utf-8"?>
<table xmlns="http://schemas.openxmlformats.org/spreadsheetml/2006/main" ref="A1:J246" displayName="Raza" name="Raza" id="9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Raza-style" showColumnStripes="0" showFirstColumn="1" showLastColumn="1" showRowStripes="1"/>
</table>
</file>

<file path=xl/tables/table10.xml><?xml version="1.0" encoding="utf-8"?>
<table xmlns="http://schemas.openxmlformats.org/spreadsheetml/2006/main" ref="A1:J246" displayName="Nirali" name="Nirali" id="10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Nirali-style" showColumnStripes="0" showFirstColumn="1" showLastColumn="1" showRowStripes="1"/>
</table>
</file>

<file path=xl/tables/table11.xml><?xml version="1.0" encoding="utf-8"?>
<table xmlns="http://schemas.openxmlformats.org/spreadsheetml/2006/main" ref="A1:J246" displayName="Mutahir" name="Mutahir" id="11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Mutahir-style" showColumnStripes="0" showFirstColumn="1" showLastColumn="1" showRowStripes="1"/>
</table>
</file>

<file path=xl/tables/table12.xml><?xml version="1.0" encoding="utf-8"?>
<table xmlns="http://schemas.openxmlformats.org/spreadsheetml/2006/main" ref="A1:J246" displayName="Rutvik" name="Rutvik" id="12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Rutvik-style" showColumnStripes="0" showFirstColumn="1" showLastColumn="1" showRowStripes="1"/>
</table>
</file>

<file path=xl/tables/table13.xml><?xml version="1.0" encoding="utf-8"?>
<table xmlns="http://schemas.openxmlformats.org/spreadsheetml/2006/main" ref="A1:J246" displayName="Muhammad" name="Muhammad" id="13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Muhammad-style" showColumnStripes="0" showFirstColumn="1" showLastColumn="1" showRowStripes="1"/>
</table>
</file>

<file path=xl/tables/table14.xml><?xml version="1.0" encoding="utf-8"?>
<table xmlns="http://schemas.openxmlformats.org/spreadsheetml/2006/main" ref="A1:J246" displayName="Laraib" name="Laraib" id="14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Laraib-style" showColumnStripes="0" showFirstColumn="1" showLastColumn="1" showRowStripes="1"/>
</table>
</file>

<file path=xl/tables/table15.xml><?xml version="1.0" encoding="utf-8"?>
<table xmlns="http://schemas.openxmlformats.org/spreadsheetml/2006/main" ref="A1:J246" displayName="Viraj" name="Viraj" id="15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Viraj-style" showColumnStripes="0" showFirstColumn="1" showLastColumn="1" showRowStripes="1"/>
</table>
</file>

<file path=xl/tables/table16.xml><?xml version="1.0" encoding="utf-8"?>
<table xmlns="http://schemas.openxmlformats.org/spreadsheetml/2006/main" ref="A1:J246" displayName="Wajeeh" name="Wajeeh" id="16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Wajeeh-style" showColumnStripes="0" showFirstColumn="1" showLastColumn="1" showRowStripes="1"/>
</table>
</file>

<file path=xl/tables/table17.xml><?xml version="1.0" encoding="utf-8"?>
<table xmlns="http://schemas.openxmlformats.org/spreadsheetml/2006/main" ref="A1:J246" displayName="Zahid" name="Zahid" id="17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Zahid-style" showColumnStripes="0" showFirstColumn="1" showLastColumn="1" showRowStripes="1"/>
</table>
</file>

<file path=xl/tables/table18.xml><?xml version="1.0" encoding="utf-8"?>
<table xmlns="http://schemas.openxmlformats.org/spreadsheetml/2006/main" ref="A1:J246" displayName="Zainabb" name="Zainabb" id="18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Zainab-style" showColumnStripes="0" showFirstColumn="1" showLastColumn="1" showRowStripes="1"/>
</table>
</file>

<file path=xl/tables/table19.xml><?xml version="1.0" encoding="utf-8"?>
<table xmlns="http://schemas.openxmlformats.org/spreadsheetml/2006/main" ref="A1:J246" displayName="Zeeshan" name="Zeeshan" id="19">
  <tableColumns count="10">
    <tableColumn name="KW" id="1"/>
    <tableColumn name="Holiday OR Weekend" id="2"/>
    <tableColumn name="Day" id="3"/>
    <tableColumn name="Date" id="4"/>
    <tableColumn name="Project" id="5"/>
    <tableColumn name="Task" id="6"/>
    <tableColumn name="Duration (Hrs)" id="7"/>
    <tableColumn name="# of Signals" id="8"/>
    <tableColumn name="Time per Signal (mins)" id="9"/>
    <tableColumn name="Notes" id="10"/>
  </tableColumns>
  <tableStyleInfo name="Zeesh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si="4"/>
        <v/>
      </c>
      <c r="J6" s="15" t="s">
        <v>10</v>
      </c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4"/>
        <v/>
      </c>
      <c r="J7" s="15" t="s">
        <v>10</v>
      </c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5" t="s">
        <v>10</v>
      </c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4"/>
        <v/>
      </c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11</v>
      </c>
      <c r="F13" s="7" t="s">
        <v>12</v>
      </c>
      <c r="G13" s="8">
        <v>8.0</v>
      </c>
      <c r="H13" s="9"/>
      <c r="I13" s="10" t="str">
        <f t="shared" si="4"/>
        <v/>
      </c>
      <c r="J13" s="11"/>
      <c r="P13" s="12" t="str">
        <f t="shared" si="3"/>
        <v>Netherlands</v>
      </c>
      <c r="Q13" s="12" t="s">
        <v>12</v>
      </c>
      <c r="R13" s="12" t="s">
        <v>13</v>
      </c>
      <c r="S13" s="12" t="s">
        <v>14</v>
      </c>
      <c r="T13" s="12"/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11</v>
      </c>
      <c r="F14" s="7" t="s">
        <v>12</v>
      </c>
      <c r="G14" s="8">
        <v>8.0</v>
      </c>
      <c r="H14" s="9"/>
      <c r="I14" s="10" t="str">
        <f t="shared" si="4"/>
        <v/>
      </c>
      <c r="J14" s="11"/>
      <c r="P14" s="12" t="str">
        <f t="shared" si="3"/>
        <v>Netherlands</v>
      </c>
      <c r="Q14" s="12" t="s">
        <v>12</v>
      </c>
      <c r="R14" s="12" t="s">
        <v>13</v>
      </c>
      <c r="S14" s="12" t="s">
        <v>14</v>
      </c>
      <c r="T14" s="12"/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 t="s">
        <v>11</v>
      </c>
      <c r="F16" s="7" t="s">
        <v>12</v>
      </c>
      <c r="G16" s="8">
        <v>4.0</v>
      </c>
      <c r="H16" s="9"/>
      <c r="I16" s="10" t="str">
        <f t="shared" si="4"/>
        <v/>
      </c>
      <c r="J16" s="11"/>
      <c r="P16" s="12" t="str">
        <f t="shared" si="3"/>
        <v>Netherlands</v>
      </c>
      <c r="Q16" s="12" t="s">
        <v>12</v>
      </c>
      <c r="R16" s="12" t="s">
        <v>13</v>
      </c>
      <c r="S16" s="12" t="s">
        <v>14</v>
      </c>
      <c r="T16" s="12"/>
      <c r="U16" s="12"/>
      <c r="V16" s="12"/>
      <c r="W16" s="12"/>
      <c r="X16" s="12"/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11</v>
      </c>
      <c r="F20" s="7" t="s">
        <v>12</v>
      </c>
      <c r="G20" s="8">
        <v>4.0</v>
      </c>
      <c r="H20" s="9"/>
      <c r="I20" s="10" t="str">
        <f t="shared" si="4"/>
        <v/>
      </c>
      <c r="J20" s="11"/>
      <c r="P20" s="12" t="str">
        <f t="shared" si="3"/>
        <v>Netherlands</v>
      </c>
      <c r="Q20" s="12" t="s">
        <v>12</v>
      </c>
      <c r="R20" s="12" t="s">
        <v>13</v>
      </c>
      <c r="S20" s="12" t="s">
        <v>14</v>
      </c>
      <c r="T20" s="12"/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11</v>
      </c>
      <c r="F21" s="7" t="s">
        <v>12</v>
      </c>
      <c r="G21" s="8">
        <v>8.0</v>
      </c>
      <c r="H21" s="9"/>
      <c r="I21" s="10" t="str">
        <f t="shared" si="4"/>
        <v/>
      </c>
      <c r="J21" s="11"/>
      <c r="P21" s="12" t="str">
        <f t="shared" si="3"/>
        <v>Netherlands</v>
      </c>
      <c r="Q21" s="12" t="s">
        <v>12</v>
      </c>
      <c r="R21" s="12" t="s">
        <v>13</v>
      </c>
      <c r="S21" s="12" t="s">
        <v>14</v>
      </c>
      <c r="T21" s="12"/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11</v>
      </c>
      <c r="F22" s="7" t="s">
        <v>12</v>
      </c>
      <c r="G22" s="8">
        <v>4.0</v>
      </c>
      <c r="H22" s="9"/>
      <c r="I22" s="10" t="str">
        <f t="shared" si="4"/>
        <v/>
      </c>
      <c r="J22" s="11"/>
      <c r="P22" s="12" t="str">
        <f t="shared" si="3"/>
        <v>Netherlands</v>
      </c>
      <c r="Q22" s="12" t="s">
        <v>12</v>
      </c>
      <c r="R22" s="12" t="s">
        <v>13</v>
      </c>
      <c r="S22" s="12" t="s">
        <v>14</v>
      </c>
      <c r="T22" s="12"/>
      <c r="U22" s="12"/>
      <c r="V22" s="12"/>
      <c r="W22" s="12"/>
      <c r="X22" s="12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 t="s">
        <v>11</v>
      </c>
      <c r="F23" s="7" t="s">
        <v>12</v>
      </c>
      <c r="G23" s="8">
        <v>4.0</v>
      </c>
      <c r="H23" s="9"/>
      <c r="I23" s="10" t="str">
        <f t="shared" si="4"/>
        <v/>
      </c>
      <c r="J23" s="11"/>
      <c r="P23" s="12" t="str">
        <f t="shared" si="3"/>
        <v>Netherlands</v>
      </c>
      <c r="Q23" s="12" t="s">
        <v>12</v>
      </c>
      <c r="R23" s="12" t="s">
        <v>13</v>
      </c>
      <c r="S23" s="12" t="s">
        <v>14</v>
      </c>
      <c r="T23" s="12"/>
      <c r="U23" s="12"/>
      <c r="V23" s="12"/>
      <c r="W23" s="12"/>
      <c r="X23" s="12"/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11</v>
      </c>
      <c r="F27" s="7" t="s">
        <v>12</v>
      </c>
      <c r="G27" s="8">
        <v>4.0</v>
      </c>
      <c r="H27" s="9">
        <v>17.0</v>
      </c>
      <c r="I27" s="10">
        <f t="shared" si="4"/>
        <v>14.11764706</v>
      </c>
      <c r="J27" s="11"/>
      <c r="P27" s="12" t="str">
        <f t="shared" si="3"/>
        <v>Netherlands</v>
      </c>
      <c r="Q27" s="12" t="s">
        <v>12</v>
      </c>
      <c r="R27" s="12" t="s">
        <v>13</v>
      </c>
      <c r="S27" s="12" t="s">
        <v>14</v>
      </c>
      <c r="T27" s="12"/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11</v>
      </c>
      <c r="F28" s="7" t="s">
        <v>12</v>
      </c>
      <c r="G28" s="8">
        <v>4.0</v>
      </c>
      <c r="H28" s="9">
        <v>18.0</v>
      </c>
      <c r="I28" s="10">
        <f t="shared" si="4"/>
        <v>13.33333333</v>
      </c>
      <c r="J28" s="11"/>
      <c r="P28" s="12" t="str">
        <f t="shared" si="3"/>
        <v>Netherlands</v>
      </c>
      <c r="Q28" s="12" t="s">
        <v>12</v>
      </c>
      <c r="R28" s="12" t="s">
        <v>13</v>
      </c>
      <c r="S28" s="12" t="s">
        <v>14</v>
      </c>
      <c r="T28" s="12"/>
      <c r="U28" s="12"/>
      <c r="V28" s="12"/>
      <c r="W28" s="12"/>
      <c r="X28" s="12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11</v>
      </c>
      <c r="F29" s="7" t="s">
        <v>12</v>
      </c>
      <c r="G29" s="8">
        <v>8.0</v>
      </c>
      <c r="H29" s="9">
        <v>28.0</v>
      </c>
      <c r="I29" s="10">
        <f t="shared" si="4"/>
        <v>17.14285714</v>
      </c>
      <c r="J29" s="11"/>
      <c r="P29" s="12" t="str">
        <f t="shared" si="3"/>
        <v>Netherlands</v>
      </c>
      <c r="Q29" s="12" t="s">
        <v>12</v>
      </c>
      <c r="R29" s="12" t="s">
        <v>13</v>
      </c>
      <c r="S29" s="12" t="s">
        <v>14</v>
      </c>
      <c r="T29" s="12"/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8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11</v>
      </c>
      <c r="F33" s="7" t="s">
        <v>12</v>
      </c>
      <c r="G33" s="8">
        <v>4.0</v>
      </c>
      <c r="H33" s="9">
        <v>18.0</v>
      </c>
      <c r="I33" s="10">
        <f t="shared" si="4"/>
        <v>13.33333333</v>
      </c>
      <c r="J33" s="11"/>
      <c r="P33" s="12" t="str">
        <f t="shared" si="3"/>
        <v>Netherlands</v>
      </c>
      <c r="Q33" s="12" t="s">
        <v>12</v>
      </c>
      <c r="R33" s="12" t="s">
        <v>13</v>
      </c>
      <c r="S33" s="12" t="s">
        <v>14</v>
      </c>
      <c r="T33" s="12"/>
      <c r="U33" s="12"/>
      <c r="V33" s="12"/>
      <c r="W33" s="12"/>
      <c r="X33" s="12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11</v>
      </c>
      <c r="F34" s="7" t="s">
        <v>12</v>
      </c>
      <c r="G34" s="8">
        <v>4.0</v>
      </c>
      <c r="H34" s="9">
        <v>21.0</v>
      </c>
      <c r="I34" s="10">
        <f t="shared" si="4"/>
        <v>11.42857143</v>
      </c>
      <c r="J34" s="11"/>
      <c r="P34" s="12" t="str">
        <f t="shared" si="3"/>
        <v>Netherlands</v>
      </c>
      <c r="Q34" s="12" t="s">
        <v>12</v>
      </c>
      <c r="R34" s="12" t="s">
        <v>13</v>
      </c>
      <c r="S34" s="12" t="s">
        <v>14</v>
      </c>
      <c r="T34" s="12"/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11</v>
      </c>
      <c r="F35" s="7" t="s">
        <v>12</v>
      </c>
      <c r="G35" s="8">
        <v>8.0</v>
      </c>
      <c r="H35" s="9">
        <v>30.0</v>
      </c>
      <c r="I35" s="10">
        <f t="shared" si="4"/>
        <v>16</v>
      </c>
      <c r="J35" s="11"/>
      <c r="P35" s="12" t="str">
        <f t="shared" si="3"/>
        <v>Netherlands</v>
      </c>
      <c r="Q35" s="12" t="s">
        <v>12</v>
      </c>
      <c r="R35" s="12" t="s">
        <v>13</v>
      </c>
      <c r="S35" s="12" t="s">
        <v>14</v>
      </c>
      <c r="T35" s="12"/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11</v>
      </c>
      <c r="F41" s="7" t="s">
        <v>12</v>
      </c>
      <c r="G41" s="8">
        <v>8.0</v>
      </c>
      <c r="H41" s="9">
        <v>33.0</v>
      </c>
      <c r="I41" s="10">
        <f t="shared" si="4"/>
        <v>14.54545455</v>
      </c>
      <c r="J41" s="11"/>
      <c r="P41" s="12" t="str">
        <f t="shared" si="3"/>
        <v>Netherlands</v>
      </c>
      <c r="Q41" s="12" t="s">
        <v>12</v>
      </c>
      <c r="R41" s="12" t="s">
        <v>13</v>
      </c>
      <c r="S41" s="12" t="s">
        <v>14</v>
      </c>
      <c r="T41" s="12"/>
      <c r="U41" s="12"/>
      <c r="V41" s="12"/>
      <c r="W41" s="12"/>
      <c r="X41" s="12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 t="s">
        <v>12</v>
      </c>
      <c r="G42" s="8">
        <v>4.0</v>
      </c>
      <c r="H42" s="9">
        <v>17.0</v>
      </c>
      <c r="I42" s="10">
        <f t="shared" si="4"/>
        <v>14.11764706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11</v>
      </c>
      <c r="F43" s="7" t="s">
        <v>12</v>
      </c>
      <c r="G43" s="8">
        <v>4.0</v>
      </c>
      <c r="H43" s="9">
        <v>20.0</v>
      </c>
      <c r="I43" s="10">
        <f t="shared" si="4"/>
        <v>12</v>
      </c>
      <c r="J43" s="11"/>
      <c r="P43" s="12" t="str">
        <f t="shared" si="3"/>
        <v>Netherlands</v>
      </c>
      <c r="Q43" s="12" t="s">
        <v>12</v>
      </c>
      <c r="R43" s="12" t="s">
        <v>13</v>
      </c>
      <c r="S43" s="12" t="s">
        <v>14</v>
      </c>
      <c r="T43" s="12"/>
      <c r="U43" s="12"/>
      <c r="V43" s="12"/>
      <c r="W43" s="12"/>
      <c r="X43" s="12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/>
      <c r="F47" s="7"/>
      <c r="G47" s="16"/>
      <c r="H47" s="14"/>
      <c r="I47" s="10" t="str">
        <f t="shared" si="4"/>
        <v/>
      </c>
      <c r="J47" s="11"/>
      <c r="P47" s="12" t="str">
        <f t="shared" si="3"/>
        <v/>
      </c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11</v>
      </c>
      <c r="F48" s="7" t="s">
        <v>13</v>
      </c>
      <c r="G48" s="8">
        <v>8.0</v>
      </c>
      <c r="H48" s="9">
        <v>32.0</v>
      </c>
      <c r="I48" s="10">
        <f t="shared" si="4"/>
        <v>15</v>
      </c>
      <c r="J48" s="11"/>
      <c r="P48" s="12" t="str">
        <f t="shared" si="3"/>
        <v>Netherlands</v>
      </c>
      <c r="Q48" s="12" t="s">
        <v>12</v>
      </c>
      <c r="R48" s="12" t="s">
        <v>13</v>
      </c>
      <c r="S48" s="12" t="s">
        <v>14</v>
      </c>
      <c r="T48" s="12"/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4.0</v>
      </c>
      <c r="H49" s="9">
        <v>16.0</v>
      </c>
      <c r="I49" s="10">
        <f t="shared" si="4"/>
        <v>15</v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 t="s">
        <v>11</v>
      </c>
      <c r="F50" s="7" t="s">
        <v>13</v>
      </c>
      <c r="G50" s="8">
        <v>4.0</v>
      </c>
      <c r="H50" s="9"/>
      <c r="I50" s="10" t="str">
        <f t="shared" si="4"/>
        <v/>
      </c>
      <c r="J50" s="11"/>
      <c r="P50" s="12" t="str">
        <f t="shared" si="3"/>
        <v>Netherlands</v>
      </c>
      <c r="Q50" s="12" t="s">
        <v>12</v>
      </c>
      <c r="R50" s="12" t="s">
        <v>13</v>
      </c>
      <c r="S50" s="12" t="s">
        <v>14</v>
      </c>
      <c r="T50" s="12"/>
      <c r="U50" s="12"/>
      <c r="V50" s="12"/>
      <c r="W50" s="12"/>
      <c r="X50" s="12"/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23.63"/>
    <col customWidth="1" min="6" max="6" width="26.5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17"/>
      <c r="F2" s="1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17"/>
      <c r="F3" s="1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17"/>
      <c r="F4" s="1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16</v>
      </c>
      <c r="F5" s="7" t="s">
        <v>17</v>
      </c>
      <c r="G5" s="8">
        <v>8.0</v>
      </c>
      <c r="H5" s="9">
        <v>16.0</v>
      </c>
      <c r="I5" s="10">
        <f t="shared" si="4"/>
        <v>30</v>
      </c>
      <c r="J5" s="11"/>
      <c r="P5" s="12" t="str">
        <f t="shared" si="3"/>
        <v>TPfC Phase 3</v>
      </c>
      <c r="Q5" s="12" t="s">
        <v>18</v>
      </c>
      <c r="R5" s="12"/>
      <c r="S5" s="12"/>
      <c r="T5" s="18"/>
      <c r="U5" s="18"/>
      <c r="V5" s="18"/>
      <c r="W5" s="18"/>
      <c r="X5" s="18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16</v>
      </c>
      <c r="F6" s="7" t="s">
        <v>17</v>
      </c>
      <c r="G6" s="8">
        <v>4.0</v>
      </c>
      <c r="H6" s="9">
        <v>9.0</v>
      </c>
      <c r="I6" s="10">
        <f t="shared" si="4"/>
        <v>26.66666667</v>
      </c>
      <c r="J6" s="11"/>
      <c r="P6" s="12" t="str">
        <f t="shared" si="3"/>
        <v>TPfC Phase 3</v>
      </c>
      <c r="Q6" s="12" t="s">
        <v>18</v>
      </c>
      <c r="R6" s="12"/>
      <c r="S6" s="12"/>
      <c r="T6" s="18"/>
      <c r="U6" s="18"/>
      <c r="V6" s="18"/>
      <c r="W6" s="18"/>
      <c r="X6" s="18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16</v>
      </c>
      <c r="F7" s="7" t="s">
        <v>17</v>
      </c>
      <c r="G7" s="8">
        <v>8.0</v>
      </c>
      <c r="H7" s="9">
        <v>13.0</v>
      </c>
      <c r="I7" s="10">
        <f t="shared" si="4"/>
        <v>36.92307692</v>
      </c>
      <c r="J7" s="11"/>
      <c r="P7" s="12" t="str">
        <f t="shared" si="3"/>
        <v>TPfC Phase 3</v>
      </c>
      <c r="Q7" s="12" t="s">
        <v>18</v>
      </c>
      <c r="R7" s="12"/>
      <c r="S7" s="12"/>
      <c r="T7" s="18"/>
      <c r="U7" s="18"/>
      <c r="V7" s="18"/>
      <c r="W7" s="18"/>
      <c r="X7" s="18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17"/>
      <c r="F8" s="1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17"/>
      <c r="F9" s="1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17"/>
      <c r="F10" s="1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17"/>
      <c r="F11" s="1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16</v>
      </c>
      <c r="F12" s="7" t="s">
        <v>17</v>
      </c>
      <c r="G12" s="8">
        <v>8.0</v>
      </c>
      <c r="H12" s="9">
        <v>13.0</v>
      </c>
      <c r="I12" s="10">
        <f t="shared" si="4"/>
        <v>36.92307692</v>
      </c>
      <c r="J12" s="11"/>
      <c r="P12" s="12" t="str">
        <f t="shared" si="3"/>
        <v>TPfC Phase 3</v>
      </c>
      <c r="Q12" s="12" t="s">
        <v>18</v>
      </c>
      <c r="R12" s="12"/>
      <c r="S12" s="12"/>
      <c r="T12" s="18"/>
      <c r="U12" s="18"/>
      <c r="V12" s="18"/>
      <c r="W12" s="18"/>
      <c r="X12" s="18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16</v>
      </c>
      <c r="F13" s="7" t="s">
        <v>17</v>
      </c>
      <c r="G13" s="8">
        <v>8.0</v>
      </c>
      <c r="H13" s="9">
        <v>12.0</v>
      </c>
      <c r="I13" s="10">
        <f t="shared" si="4"/>
        <v>40</v>
      </c>
      <c r="J13" s="11"/>
      <c r="P13" s="12" t="str">
        <f t="shared" si="3"/>
        <v>TPfC Phase 3</v>
      </c>
      <c r="Q13" s="12" t="s">
        <v>18</v>
      </c>
      <c r="R13" s="12"/>
      <c r="S13" s="12"/>
      <c r="T13" s="18"/>
      <c r="U13" s="18"/>
      <c r="V13" s="18"/>
      <c r="W13" s="18"/>
      <c r="X13" s="18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16</v>
      </c>
      <c r="F14" s="7" t="s">
        <v>17</v>
      </c>
      <c r="G14" s="8">
        <v>4.0</v>
      </c>
      <c r="H14" s="9">
        <v>10.0</v>
      </c>
      <c r="I14" s="10">
        <f t="shared" si="4"/>
        <v>24</v>
      </c>
      <c r="J14" s="11"/>
      <c r="P14" s="12" t="str">
        <f t="shared" si="3"/>
        <v>TPfC Phase 3</v>
      </c>
      <c r="Q14" s="12" t="s">
        <v>18</v>
      </c>
      <c r="R14" s="12"/>
      <c r="S14" s="12"/>
      <c r="T14" s="18"/>
      <c r="U14" s="18"/>
      <c r="V14" s="18"/>
      <c r="W14" s="18"/>
      <c r="X14" s="18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17"/>
      <c r="F15" s="1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17"/>
      <c r="F16" s="1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17"/>
      <c r="F17" s="1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17"/>
      <c r="F18" s="1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17"/>
      <c r="F19" s="1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16</v>
      </c>
      <c r="F20" s="7" t="s">
        <v>17</v>
      </c>
      <c r="G20" s="8">
        <v>8.0</v>
      </c>
      <c r="H20" s="9">
        <v>12.0</v>
      </c>
      <c r="I20" s="10">
        <f t="shared" si="4"/>
        <v>40</v>
      </c>
      <c r="J20" s="11"/>
      <c r="P20" s="12" t="str">
        <f t="shared" si="3"/>
        <v>TPfC Phase 3</v>
      </c>
      <c r="Q20" s="12" t="s">
        <v>18</v>
      </c>
      <c r="R20" s="12"/>
      <c r="S20" s="12"/>
      <c r="T20" s="18"/>
      <c r="U20" s="18"/>
      <c r="V20" s="18"/>
      <c r="W20" s="18"/>
      <c r="X20" s="18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16</v>
      </c>
      <c r="F21" s="7" t="s">
        <v>17</v>
      </c>
      <c r="G21" s="8">
        <v>4.0</v>
      </c>
      <c r="H21" s="9">
        <v>9.0</v>
      </c>
      <c r="I21" s="10">
        <f t="shared" si="4"/>
        <v>26.66666667</v>
      </c>
      <c r="J21" s="11"/>
      <c r="P21" s="12" t="str">
        <f t="shared" si="3"/>
        <v>TPfC Phase 3</v>
      </c>
      <c r="Q21" s="12" t="s">
        <v>18</v>
      </c>
      <c r="R21" s="12"/>
      <c r="S21" s="12"/>
      <c r="T21" s="18"/>
      <c r="U21" s="18"/>
      <c r="V21" s="18"/>
      <c r="W21" s="18"/>
      <c r="X21" s="18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16</v>
      </c>
      <c r="F22" s="7" t="s">
        <v>17</v>
      </c>
      <c r="G22" s="8">
        <v>4.0</v>
      </c>
      <c r="H22" s="9">
        <v>6.0</v>
      </c>
      <c r="I22" s="10">
        <f t="shared" si="4"/>
        <v>40</v>
      </c>
      <c r="J22" s="11"/>
      <c r="P22" s="12" t="str">
        <f t="shared" si="3"/>
        <v>TPfC Phase 3</v>
      </c>
      <c r="Q22" s="12" t="s">
        <v>18</v>
      </c>
      <c r="R22" s="12"/>
      <c r="S22" s="12"/>
      <c r="T22" s="18"/>
      <c r="U22" s="18"/>
      <c r="V22" s="18"/>
      <c r="W22" s="18"/>
      <c r="X22" s="18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 t="s">
        <v>16</v>
      </c>
      <c r="F23" s="7" t="s">
        <v>17</v>
      </c>
      <c r="G23" s="8">
        <v>4.0</v>
      </c>
      <c r="H23" s="9">
        <v>10.0</v>
      </c>
      <c r="I23" s="10">
        <f t="shared" si="4"/>
        <v>24</v>
      </c>
      <c r="J23" s="11"/>
      <c r="P23" s="12" t="str">
        <f t="shared" si="3"/>
        <v>TPfC Phase 3</v>
      </c>
      <c r="Q23" s="12" t="s">
        <v>18</v>
      </c>
      <c r="R23" s="12"/>
      <c r="S23" s="12"/>
      <c r="T23" s="18"/>
      <c r="U23" s="18"/>
      <c r="V23" s="18"/>
      <c r="W23" s="18"/>
      <c r="X23" s="18"/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17"/>
      <c r="F24" s="1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17"/>
      <c r="F25" s="1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17"/>
      <c r="F26" s="1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16</v>
      </c>
      <c r="F27" s="7" t="s">
        <v>17</v>
      </c>
      <c r="G27" s="8">
        <v>8.0</v>
      </c>
      <c r="H27" s="9">
        <v>19.0</v>
      </c>
      <c r="I27" s="10">
        <f t="shared" si="4"/>
        <v>25.26315789</v>
      </c>
      <c r="J27" s="11"/>
      <c r="P27" s="12" t="str">
        <f t="shared" si="3"/>
        <v>TPfC Phase 3</v>
      </c>
      <c r="Q27" s="12" t="s">
        <v>18</v>
      </c>
      <c r="R27" s="12"/>
      <c r="S27" s="12"/>
      <c r="T27" s="18"/>
      <c r="U27" s="18"/>
      <c r="V27" s="18"/>
      <c r="W27" s="18"/>
      <c r="X27" s="18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16</v>
      </c>
      <c r="F28" s="7" t="s">
        <v>17</v>
      </c>
      <c r="G28" s="8">
        <v>8.0</v>
      </c>
      <c r="H28" s="9">
        <v>17.0</v>
      </c>
      <c r="I28" s="10">
        <f t="shared" si="4"/>
        <v>28.23529412</v>
      </c>
      <c r="J28" s="11"/>
      <c r="P28" s="12" t="str">
        <f t="shared" si="3"/>
        <v>TPfC Phase 3</v>
      </c>
      <c r="Q28" s="12" t="s">
        <v>18</v>
      </c>
      <c r="R28" s="12"/>
      <c r="S28" s="12"/>
      <c r="T28" s="18"/>
      <c r="U28" s="18"/>
      <c r="V28" s="18"/>
      <c r="W28" s="18"/>
      <c r="X28" s="18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16</v>
      </c>
      <c r="F29" s="7" t="s">
        <v>17</v>
      </c>
      <c r="G29" s="8">
        <v>4.0</v>
      </c>
      <c r="H29" s="9">
        <v>12.0</v>
      </c>
      <c r="I29" s="10">
        <f t="shared" si="4"/>
        <v>20</v>
      </c>
      <c r="J29" s="11"/>
      <c r="P29" s="12" t="str">
        <f t="shared" si="3"/>
        <v>TPfC Phase 3</v>
      </c>
      <c r="Q29" s="12" t="s">
        <v>18</v>
      </c>
      <c r="R29" s="12"/>
      <c r="S29" s="12"/>
      <c r="T29" s="18"/>
      <c r="U29" s="18"/>
      <c r="V29" s="18"/>
      <c r="W29" s="18"/>
      <c r="X29" s="18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17"/>
      <c r="F30" s="1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17"/>
      <c r="F31" s="1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17"/>
      <c r="F32" s="1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16</v>
      </c>
      <c r="F33" s="7" t="s">
        <v>17</v>
      </c>
      <c r="G33" s="8">
        <v>8.0</v>
      </c>
      <c r="H33" s="9">
        <v>18.0</v>
      </c>
      <c r="I33" s="10">
        <f t="shared" si="4"/>
        <v>26.66666667</v>
      </c>
      <c r="J33" s="11"/>
      <c r="P33" s="12" t="str">
        <f t="shared" si="3"/>
        <v>TPfC Phase 3</v>
      </c>
      <c r="Q33" s="12" t="s">
        <v>18</v>
      </c>
      <c r="R33" s="12"/>
      <c r="S33" s="12"/>
      <c r="T33" s="18"/>
      <c r="U33" s="18"/>
      <c r="V33" s="18"/>
      <c r="W33" s="18"/>
      <c r="X33" s="18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16</v>
      </c>
      <c r="F34" s="7" t="s">
        <v>17</v>
      </c>
      <c r="G34" s="8">
        <v>4.0</v>
      </c>
      <c r="H34" s="9">
        <v>22.0</v>
      </c>
      <c r="I34" s="10">
        <f t="shared" si="4"/>
        <v>10.90909091</v>
      </c>
      <c r="J34" s="11"/>
      <c r="P34" s="12" t="str">
        <f t="shared" si="3"/>
        <v>TPfC Phase 3</v>
      </c>
      <c r="Q34" s="12" t="s">
        <v>18</v>
      </c>
      <c r="R34" s="12"/>
      <c r="S34" s="12"/>
      <c r="T34" s="18"/>
      <c r="U34" s="18"/>
      <c r="V34" s="18"/>
      <c r="W34" s="18"/>
      <c r="X34" s="18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16</v>
      </c>
      <c r="F35" s="7" t="s">
        <v>17</v>
      </c>
      <c r="G35" s="8">
        <v>4.0</v>
      </c>
      <c r="H35" s="9">
        <v>8.0</v>
      </c>
      <c r="I35" s="10">
        <f t="shared" si="4"/>
        <v>30</v>
      </c>
      <c r="J35" s="11"/>
      <c r="P35" s="12" t="str">
        <f t="shared" si="3"/>
        <v>TPfC Phase 3</v>
      </c>
      <c r="Q35" s="12" t="s">
        <v>18</v>
      </c>
      <c r="R35" s="12"/>
      <c r="S35" s="12"/>
      <c r="T35" s="18"/>
      <c r="U35" s="18"/>
      <c r="V35" s="18"/>
      <c r="W35" s="18"/>
      <c r="X35" s="18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17"/>
      <c r="F36" s="1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 t="s">
        <v>16</v>
      </c>
      <c r="F37" s="7" t="s">
        <v>17</v>
      </c>
      <c r="G37" s="8">
        <v>4.0</v>
      </c>
      <c r="H37" s="9">
        <v>10.0</v>
      </c>
      <c r="I37" s="10">
        <f t="shared" si="4"/>
        <v>24</v>
      </c>
      <c r="J37" s="11"/>
      <c r="P37" s="12" t="str">
        <f t="shared" si="3"/>
        <v>TPfC Phase 3</v>
      </c>
      <c r="Q37" s="12" t="s">
        <v>18</v>
      </c>
      <c r="R37" s="12"/>
      <c r="S37" s="12"/>
      <c r="T37" s="18"/>
      <c r="U37" s="18"/>
      <c r="V37" s="18"/>
      <c r="W37" s="18"/>
      <c r="X37" s="18"/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17"/>
      <c r="F38" s="1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17"/>
      <c r="F39" s="1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 t="s">
        <v>16</v>
      </c>
      <c r="F40" s="7" t="s">
        <v>17</v>
      </c>
      <c r="G40" s="8">
        <v>8.0</v>
      </c>
      <c r="H40" s="9">
        <v>10.0</v>
      </c>
      <c r="I40" s="10">
        <f t="shared" si="4"/>
        <v>48</v>
      </c>
      <c r="J40" s="11"/>
      <c r="P40" s="12" t="str">
        <f t="shared" si="3"/>
        <v>TPfC Phase 3</v>
      </c>
      <c r="Q40" s="12" t="s">
        <v>18</v>
      </c>
      <c r="R40" s="12"/>
      <c r="S40" s="12"/>
      <c r="T40" s="18"/>
      <c r="U40" s="18"/>
      <c r="V40" s="18"/>
      <c r="W40" s="18"/>
      <c r="X40" s="18"/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16</v>
      </c>
      <c r="F41" s="7" t="s">
        <v>17</v>
      </c>
      <c r="G41" s="8">
        <v>8.0</v>
      </c>
      <c r="H41" s="9">
        <v>10.0</v>
      </c>
      <c r="I41" s="10">
        <f t="shared" si="4"/>
        <v>48</v>
      </c>
      <c r="J41" s="11"/>
      <c r="P41" s="12" t="str">
        <f t="shared" si="3"/>
        <v>TPfC Phase 3</v>
      </c>
      <c r="Q41" s="12" t="s">
        <v>18</v>
      </c>
      <c r="R41" s="12"/>
      <c r="S41" s="12"/>
      <c r="T41" s="18"/>
      <c r="U41" s="18"/>
      <c r="V41" s="18"/>
      <c r="W41" s="18"/>
      <c r="X41" s="18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17"/>
      <c r="F42" s="17"/>
      <c r="G42" s="16"/>
      <c r="H42" s="14"/>
      <c r="I42" s="10" t="str">
        <f t="shared" si="4"/>
        <v/>
      </c>
      <c r="J42" s="11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16</v>
      </c>
      <c r="F43" s="7" t="s">
        <v>17</v>
      </c>
      <c r="G43" s="8">
        <v>4.0</v>
      </c>
      <c r="H43" s="9">
        <v>7.0</v>
      </c>
      <c r="I43" s="10">
        <f t="shared" si="4"/>
        <v>34.28571429</v>
      </c>
      <c r="J43" s="11"/>
      <c r="P43" s="12" t="str">
        <f t="shared" si="3"/>
        <v>TPfC Phase 3</v>
      </c>
      <c r="Q43" s="12" t="s">
        <v>18</v>
      </c>
      <c r="R43" s="12"/>
      <c r="S43" s="12"/>
      <c r="T43" s="18"/>
      <c r="U43" s="18"/>
      <c r="V43" s="18"/>
      <c r="W43" s="18"/>
      <c r="X43" s="18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17"/>
      <c r="F44" s="1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17"/>
      <c r="F45" s="1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17"/>
      <c r="F46" s="1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16</v>
      </c>
      <c r="F47" s="7" t="s">
        <v>17</v>
      </c>
      <c r="G47" s="8">
        <v>4.0</v>
      </c>
      <c r="H47" s="9">
        <v>6.0</v>
      </c>
      <c r="I47" s="10">
        <f t="shared" si="4"/>
        <v>40</v>
      </c>
      <c r="J47" s="11"/>
      <c r="P47" s="12" t="str">
        <f t="shared" si="3"/>
        <v>TPfC Phase 3</v>
      </c>
      <c r="Q47" s="12" t="s">
        <v>18</v>
      </c>
      <c r="R47" s="12"/>
      <c r="S47" s="12"/>
      <c r="T47" s="18"/>
      <c r="U47" s="18"/>
      <c r="V47" s="18"/>
      <c r="W47" s="18"/>
      <c r="X47" s="18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16</v>
      </c>
      <c r="F48" s="7" t="s">
        <v>17</v>
      </c>
      <c r="G48" s="8">
        <v>4.0</v>
      </c>
      <c r="H48" s="9">
        <v>4.0</v>
      </c>
      <c r="I48" s="10">
        <f t="shared" si="4"/>
        <v>60</v>
      </c>
      <c r="J48" s="11"/>
      <c r="P48" s="12" t="str">
        <f t="shared" si="3"/>
        <v>TPfC Phase 3</v>
      </c>
      <c r="Q48" s="12" t="s">
        <v>18</v>
      </c>
      <c r="R48" s="12"/>
      <c r="S48" s="12"/>
      <c r="T48" s="18"/>
      <c r="U48" s="18"/>
      <c r="V48" s="18"/>
      <c r="W48" s="18"/>
      <c r="X48" s="18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17" t="s">
        <v>13</v>
      </c>
      <c r="G49" s="8">
        <v>4.0</v>
      </c>
      <c r="H49" s="9">
        <v>20.0</v>
      </c>
      <c r="I49" s="10">
        <f t="shared" si="4"/>
        <v>12</v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 t="s">
        <v>11</v>
      </c>
      <c r="F50" s="7" t="s">
        <v>13</v>
      </c>
      <c r="G50" s="8">
        <v>8.0</v>
      </c>
      <c r="H50" s="9">
        <v>35.0</v>
      </c>
      <c r="I50" s="10">
        <f t="shared" si="4"/>
        <v>13.71428571</v>
      </c>
      <c r="J50" s="11"/>
      <c r="P50" s="12" t="str">
        <f t="shared" si="3"/>
        <v>Netherlands</v>
      </c>
      <c r="Q50" s="12" t="s">
        <v>12</v>
      </c>
      <c r="R50" s="12" t="s">
        <v>13</v>
      </c>
      <c r="S50" s="12" t="s">
        <v>14</v>
      </c>
      <c r="T50" s="12"/>
      <c r="U50" s="12"/>
      <c r="V50" s="12"/>
      <c r="W50" s="12"/>
      <c r="X50" s="12"/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17"/>
      <c r="F51" s="1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17"/>
      <c r="F52" s="1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17"/>
      <c r="F53" s="1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11</v>
      </c>
      <c r="F54" s="7" t="s">
        <v>13</v>
      </c>
      <c r="G54" s="8">
        <v>4.0</v>
      </c>
      <c r="H54" s="9">
        <v>16.0</v>
      </c>
      <c r="I54" s="10">
        <f t="shared" si="4"/>
        <v>15</v>
      </c>
      <c r="J54" s="11"/>
      <c r="P54" s="12" t="str">
        <f t="shared" si="3"/>
        <v>Netherlands</v>
      </c>
      <c r="Q54" s="12" t="s">
        <v>12</v>
      </c>
      <c r="R54" s="12" t="s">
        <v>13</v>
      </c>
      <c r="S54" s="12" t="s">
        <v>14</v>
      </c>
      <c r="T54" s="12"/>
      <c r="U54" s="12"/>
      <c r="V54" s="12"/>
      <c r="W54" s="12"/>
      <c r="X54" s="12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 t="s">
        <v>16</v>
      </c>
      <c r="F55" s="7" t="s">
        <v>18</v>
      </c>
      <c r="G55" s="8">
        <v>6.0</v>
      </c>
      <c r="H55" s="9">
        <v>8.0</v>
      </c>
      <c r="I55" s="10">
        <f t="shared" si="4"/>
        <v>45</v>
      </c>
      <c r="J55" s="11"/>
      <c r="P55" s="12" t="str">
        <f t="shared" si="3"/>
        <v>TPfC Phase 3</v>
      </c>
      <c r="Q55" s="12" t="s">
        <v>18</v>
      </c>
      <c r="R55" s="12"/>
      <c r="S55" s="12"/>
      <c r="T55" s="18"/>
      <c r="U55" s="18"/>
      <c r="V55" s="18"/>
      <c r="W55" s="18"/>
      <c r="X55" s="18"/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 t="s">
        <v>16</v>
      </c>
      <c r="F56" s="7" t="s">
        <v>18</v>
      </c>
      <c r="G56" s="8">
        <v>8.0</v>
      </c>
      <c r="H56" s="9">
        <v>11.0</v>
      </c>
      <c r="I56" s="10">
        <f t="shared" si="4"/>
        <v>43.63636364</v>
      </c>
      <c r="J56" s="11"/>
      <c r="P56" s="12" t="str">
        <f t="shared" si="3"/>
        <v>TPfC Phase 3</v>
      </c>
      <c r="Q56" s="12" t="s">
        <v>18</v>
      </c>
      <c r="R56" s="12"/>
      <c r="S56" s="12"/>
      <c r="T56" s="18"/>
      <c r="U56" s="18"/>
      <c r="V56" s="18"/>
      <c r="W56" s="18"/>
      <c r="X56" s="18"/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 t="s">
        <v>16</v>
      </c>
      <c r="F57" s="7" t="s">
        <v>18</v>
      </c>
      <c r="G57" s="8">
        <v>2.0</v>
      </c>
      <c r="H57" s="9">
        <v>4.0</v>
      </c>
      <c r="I57" s="10">
        <f t="shared" si="4"/>
        <v>30</v>
      </c>
      <c r="J57" s="11"/>
      <c r="P57" s="12" t="str">
        <f t="shared" si="3"/>
        <v>TPfC Phase 3</v>
      </c>
      <c r="Q57" s="12" t="s">
        <v>18</v>
      </c>
      <c r="R57" s="12"/>
      <c r="S57" s="12"/>
      <c r="T57" s="18"/>
      <c r="U57" s="18"/>
      <c r="V57" s="18"/>
      <c r="W57" s="18"/>
      <c r="X57" s="18"/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17"/>
      <c r="F58" s="1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17"/>
      <c r="F59" s="1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17"/>
      <c r="F60" s="1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17"/>
      <c r="F61" s="1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17"/>
      <c r="F62" s="1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17"/>
      <c r="F63" s="1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17"/>
      <c r="F64" s="1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17"/>
      <c r="F65" s="1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17"/>
      <c r="F66" s="1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17"/>
      <c r="F67" s="1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17"/>
      <c r="F68" s="1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17"/>
      <c r="F69" s="1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17"/>
      <c r="F70" s="1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17"/>
      <c r="F71" s="1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17"/>
      <c r="F72" s="1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17"/>
      <c r="F73" s="1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17"/>
      <c r="F74" s="1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17"/>
      <c r="F75" s="1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17"/>
      <c r="F76" s="1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17"/>
      <c r="F77" s="1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17"/>
      <c r="F78" s="1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17"/>
      <c r="F79" s="1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17"/>
      <c r="F80" s="1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17"/>
      <c r="F81" s="1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17"/>
      <c r="F82" s="1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17"/>
      <c r="F83" s="1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17"/>
      <c r="F84" s="1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17"/>
      <c r="F85" s="1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17"/>
      <c r="F86" s="1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17"/>
      <c r="F87" s="1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17"/>
      <c r="F88" s="1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17"/>
      <c r="F89" s="1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17"/>
      <c r="F90" s="1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17"/>
      <c r="F91" s="1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17"/>
      <c r="F92" s="1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17"/>
      <c r="F93" s="1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17"/>
      <c r="F94" s="1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17"/>
      <c r="F95" s="1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17"/>
      <c r="F96" s="1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17"/>
      <c r="F97" s="1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17"/>
      <c r="F98" s="1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17"/>
      <c r="F99" s="1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17"/>
      <c r="F100" s="1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17"/>
      <c r="F101" s="1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17"/>
      <c r="F102" s="1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17"/>
      <c r="F103" s="1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17"/>
      <c r="F104" s="1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17"/>
      <c r="F105" s="1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17"/>
      <c r="F106" s="1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17"/>
      <c r="F107" s="1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17"/>
      <c r="F108" s="1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17"/>
      <c r="F109" s="1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17"/>
      <c r="F110" s="1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17"/>
      <c r="F111" s="1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17"/>
      <c r="F112" s="1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17"/>
      <c r="F113" s="1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17"/>
      <c r="F114" s="1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17"/>
      <c r="F115" s="1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17"/>
      <c r="F116" s="1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17"/>
      <c r="F117" s="1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17"/>
      <c r="F118" s="1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17"/>
      <c r="F119" s="1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17"/>
      <c r="F120" s="1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17"/>
      <c r="F121" s="1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17"/>
      <c r="F122" s="1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17"/>
      <c r="F123" s="1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17"/>
      <c r="F124" s="1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17"/>
      <c r="F125" s="1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17"/>
      <c r="F126" s="1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17"/>
      <c r="F127" s="1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17"/>
      <c r="F128" s="1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17"/>
      <c r="F129" s="1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17"/>
      <c r="F130" s="1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17"/>
      <c r="F131" s="1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17"/>
      <c r="F132" s="1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17"/>
      <c r="F133" s="1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17"/>
      <c r="F134" s="1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17"/>
      <c r="F135" s="1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17"/>
      <c r="F136" s="1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17"/>
      <c r="F137" s="1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17"/>
      <c r="F138" s="1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17"/>
      <c r="F139" s="1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17"/>
      <c r="F140" s="1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17"/>
      <c r="F141" s="1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17"/>
      <c r="F142" s="1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17"/>
      <c r="F143" s="1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17"/>
      <c r="F144" s="1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17"/>
      <c r="F145" s="1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17"/>
      <c r="F146" s="1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17"/>
      <c r="F147" s="1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17"/>
      <c r="F148" s="1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17"/>
      <c r="F149" s="1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17"/>
      <c r="F150" s="1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17"/>
      <c r="F151" s="1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17"/>
      <c r="F152" s="1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17"/>
      <c r="F153" s="1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17"/>
      <c r="F154" s="1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17"/>
      <c r="F155" s="1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17"/>
      <c r="F156" s="1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17"/>
      <c r="F157" s="1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17"/>
      <c r="F158" s="1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17"/>
      <c r="F159" s="1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17"/>
      <c r="F160" s="1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17"/>
      <c r="F161" s="1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17"/>
      <c r="F162" s="1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17"/>
      <c r="F163" s="1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17"/>
      <c r="F164" s="1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17"/>
      <c r="F165" s="1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17"/>
      <c r="F166" s="1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17"/>
      <c r="F167" s="1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17"/>
      <c r="F168" s="1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17"/>
      <c r="F169" s="1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17"/>
      <c r="F170" s="1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17"/>
      <c r="F171" s="1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17"/>
      <c r="F172" s="1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17"/>
      <c r="F173" s="1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17"/>
      <c r="F174" s="1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17"/>
      <c r="F175" s="1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17"/>
      <c r="F176" s="1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17"/>
      <c r="F177" s="1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17"/>
      <c r="F178" s="1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17"/>
      <c r="F179" s="1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17"/>
      <c r="F180" s="1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17"/>
      <c r="F181" s="1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17"/>
      <c r="F182" s="1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17"/>
      <c r="F183" s="1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17"/>
      <c r="F184" s="1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17"/>
      <c r="F185" s="1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17"/>
      <c r="F186" s="1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17"/>
      <c r="F187" s="1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17"/>
      <c r="F188" s="1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17"/>
      <c r="F189" s="1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17"/>
      <c r="F190" s="1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17"/>
      <c r="F191" s="1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17"/>
      <c r="F192" s="1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17"/>
      <c r="F193" s="1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17"/>
      <c r="F194" s="1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17"/>
      <c r="F195" s="1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17"/>
      <c r="F196" s="1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17"/>
      <c r="F197" s="1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17"/>
      <c r="F198" s="1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17"/>
      <c r="F199" s="1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17"/>
      <c r="F200" s="1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17"/>
      <c r="F201" s="1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17"/>
      <c r="F202" s="1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17"/>
      <c r="F203" s="1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17"/>
      <c r="F204" s="1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17"/>
      <c r="F205" s="1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17"/>
      <c r="F206" s="1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17"/>
      <c r="F207" s="1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17"/>
      <c r="F208" s="1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17"/>
      <c r="F209" s="1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17"/>
      <c r="F210" s="1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17"/>
      <c r="F211" s="1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17"/>
      <c r="F212" s="1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17"/>
      <c r="F213" s="1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17"/>
      <c r="F214" s="1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17"/>
      <c r="F215" s="1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17"/>
      <c r="F216" s="1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17"/>
      <c r="F217" s="1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17"/>
      <c r="F218" s="1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17"/>
      <c r="F219" s="1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17"/>
      <c r="F220" s="1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17"/>
      <c r="F221" s="1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17"/>
      <c r="F222" s="1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17"/>
      <c r="F223" s="1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17"/>
      <c r="F224" s="1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17"/>
      <c r="F225" s="1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17"/>
      <c r="F226" s="1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17"/>
      <c r="F227" s="1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17"/>
      <c r="F228" s="1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17"/>
      <c r="F229" s="1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17"/>
      <c r="F230" s="1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17"/>
      <c r="F231" s="1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17"/>
      <c r="F232" s="1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17"/>
      <c r="F233" s="1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17"/>
      <c r="F234" s="1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17"/>
      <c r="F235" s="1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17"/>
      <c r="F236" s="1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17"/>
      <c r="F237" s="1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17"/>
      <c r="F238" s="1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17"/>
      <c r="F239" s="1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17"/>
      <c r="F240" s="1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17"/>
      <c r="F241" s="1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17"/>
      <c r="F242" s="1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17"/>
      <c r="F243" s="1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17"/>
      <c r="F244" s="1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17"/>
      <c r="F245" s="1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17"/>
      <c r="F246" s="1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  <dataValidation type="list" allowBlank="1" sqref="E2:E246">
      <formula1>#REF!</formula1>
    </dataValidation>
    <dataValidation type="list" allowBlank="1" sqref="F2:F246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5" max="25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O2" s="12" t="str">
        <f t="shared" ref="O2:O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O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O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O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16</v>
      </c>
      <c r="F6" s="7" t="s">
        <v>17</v>
      </c>
      <c r="G6" s="8">
        <v>7.5</v>
      </c>
      <c r="H6" s="9">
        <v>12.0</v>
      </c>
      <c r="I6" s="10">
        <f t="shared" si="4"/>
        <v>37.5</v>
      </c>
      <c r="J6" s="11"/>
      <c r="O6" s="12" t="str">
        <f t="shared" si="3"/>
        <v>TPfC Phase 3</v>
      </c>
      <c r="P6" s="12" t="s">
        <v>18</v>
      </c>
      <c r="Q6" s="12"/>
      <c r="R6" s="12"/>
      <c r="S6" s="18"/>
      <c r="T6" s="18"/>
      <c r="U6" s="18"/>
      <c r="V6" s="18"/>
      <c r="W6" s="18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16</v>
      </c>
      <c r="F7" s="7" t="s">
        <v>17</v>
      </c>
      <c r="G7" s="8">
        <v>6.5</v>
      </c>
      <c r="H7" s="9">
        <v>10.0</v>
      </c>
      <c r="I7" s="10">
        <f t="shared" si="4"/>
        <v>39</v>
      </c>
      <c r="J7" s="11"/>
      <c r="O7" s="12" t="str">
        <f t="shared" si="3"/>
        <v>TPfC Phase 3</v>
      </c>
      <c r="P7" s="12" t="s">
        <v>18</v>
      </c>
      <c r="Q7" s="12"/>
      <c r="R7" s="12"/>
      <c r="S7" s="18"/>
      <c r="T7" s="18"/>
      <c r="U7" s="18"/>
      <c r="V7" s="18"/>
      <c r="W7" s="18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 t="s">
        <v>16</v>
      </c>
      <c r="F8" s="7" t="s">
        <v>17</v>
      </c>
      <c r="G8" s="8">
        <v>6.0</v>
      </c>
      <c r="H8" s="9">
        <v>10.0</v>
      </c>
      <c r="I8" s="10">
        <f t="shared" si="4"/>
        <v>36</v>
      </c>
      <c r="J8" s="11"/>
      <c r="O8" s="12" t="str">
        <f t="shared" si="3"/>
        <v>TPfC Phase 3</v>
      </c>
      <c r="P8" s="12" t="s">
        <v>18</v>
      </c>
      <c r="Q8" s="12"/>
      <c r="R8" s="12"/>
      <c r="S8" s="18"/>
      <c r="T8" s="18"/>
      <c r="U8" s="18"/>
      <c r="V8" s="18"/>
      <c r="W8" s="18"/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O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O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O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4"/>
        <v/>
      </c>
      <c r="J12" s="11"/>
      <c r="O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/>
      <c r="F13" s="7"/>
      <c r="G13" s="16"/>
      <c r="H13" s="14"/>
      <c r="I13" s="10" t="str">
        <f t="shared" si="4"/>
        <v/>
      </c>
      <c r="J13" s="11"/>
      <c r="O13" s="12" t="str">
        <f t="shared" si="3"/>
        <v/>
      </c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/>
      <c r="F14" s="7"/>
      <c r="G14" s="16"/>
      <c r="H14" s="14"/>
      <c r="I14" s="10" t="str">
        <f t="shared" si="4"/>
        <v/>
      </c>
      <c r="J14" s="11"/>
      <c r="O14" s="12" t="str">
        <f t="shared" si="3"/>
        <v/>
      </c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O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O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O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O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O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0" t="str">
        <f t="shared" si="4"/>
        <v/>
      </c>
      <c r="J20" s="11"/>
      <c r="O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16</v>
      </c>
      <c r="F21" s="7" t="s">
        <v>17</v>
      </c>
      <c r="G21" s="8">
        <v>7.5</v>
      </c>
      <c r="H21" s="9">
        <v>20.0</v>
      </c>
      <c r="I21" s="10">
        <f t="shared" si="4"/>
        <v>22.5</v>
      </c>
      <c r="J21" s="11"/>
      <c r="O21" s="12" t="str">
        <f t="shared" si="3"/>
        <v>TPfC Phase 3</v>
      </c>
      <c r="P21" s="12" t="s">
        <v>18</v>
      </c>
      <c r="Q21" s="12"/>
      <c r="R21" s="12"/>
      <c r="S21" s="18"/>
      <c r="T21" s="18"/>
      <c r="U21" s="18"/>
      <c r="V21" s="18"/>
      <c r="W21" s="18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16</v>
      </c>
      <c r="F22" s="7" t="s">
        <v>17</v>
      </c>
      <c r="G22" s="8">
        <v>4.5</v>
      </c>
      <c r="H22" s="9">
        <v>10.0</v>
      </c>
      <c r="I22" s="10">
        <f t="shared" si="4"/>
        <v>27</v>
      </c>
      <c r="J22" s="11"/>
      <c r="O22" s="12" t="str">
        <f t="shared" si="3"/>
        <v>TPfC Phase 3</v>
      </c>
      <c r="P22" s="12" t="s">
        <v>18</v>
      </c>
      <c r="Q22" s="12"/>
      <c r="R22" s="12"/>
      <c r="S22" s="18"/>
      <c r="T22" s="18"/>
      <c r="U22" s="18"/>
      <c r="V22" s="18"/>
      <c r="W22" s="18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 t="s">
        <v>16</v>
      </c>
      <c r="F23" s="7" t="s">
        <v>17</v>
      </c>
      <c r="G23" s="8">
        <v>8.0</v>
      </c>
      <c r="H23" s="9">
        <v>10.0</v>
      </c>
      <c r="I23" s="10">
        <f t="shared" si="4"/>
        <v>48</v>
      </c>
      <c r="J23" s="11"/>
      <c r="O23" s="12" t="str">
        <f t="shared" si="3"/>
        <v>TPfC Phase 3</v>
      </c>
      <c r="P23" s="12" t="s">
        <v>18</v>
      </c>
      <c r="Q23" s="12"/>
      <c r="R23" s="12"/>
      <c r="S23" s="18"/>
      <c r="T23" s="18"/>
      <c r="U23" s="18"/>
      <c r="V23" s="18"/>
      <c r="W23" s="18"/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O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O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O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16</v>
      </c>
      <c r="F27" s="7" t="s">
        <v>17</v>
      </c>
      <c r="G27" s="8">
        <v>7.5</v>
      </c>
      <c r="H27" s="9">
        <v>14.0</v>
      </c>
      <c r="I27" s="10">
        <f t="shared" si="4"/>
        <v>32.14285714</v>
      </c>
      <c r="J27" s="11"/>
      <c r="O27" s="12" t="str">
        <f t="shared" si="3"/>
        <v>TPfC Phase 3</v>
      </c>
      <c r="P27" s="12" t="s">
        <v>18</v>
      </c>
      <c r="Q27" s="12"/>
      <c r="R27" s="12"/>
      <c r="S27" s="18"/>
      <c r="T27" s="18"/>
      <c r="U27" s="18"/>
      <c r="V27" s="18"/>
      <c r="W27" s="18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16</v>
      </c>
      <c r="F28" s="7" t="s">
        <v>17</v>
      </c>
      <c r="G28" s="8">
        <v>7.5</v>
      </c>
      <c r="H28" s="9">
        <v>13.0</v>
      </c>
      <c r="I28" s="10">
        <f t="shared" si="4"/>
        <v>34.61538462</v>
      </c>
      <c r="J28" s="11"/>
      <c r="O28" s="12" t="str">
        <f t="shared" si="3"/>
        <v>TPfC Phase 3</v>
      </c>
      <c r="P28" s="12" t="s">
        <v>18</v>
      </c>
      <c r="Q28" s="12"/>
      <c r="R28" s="12"/>
      <c r="S28" s="18"/>
      <c r="T28" s="18"/>
      <c r="U28" s="18"/>
      <c r="V28" s="18"/>
      <c r="W28" s="18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16</v>
      </c>
      <c r="F29" s="7" t="s">
        <v>17</v>
      </c>
      <c r="G29" s="8">
        <v>5.0</v>
      </c>
      <c r="H29" s="9">
        <v>10.0</v>
      </c>
      <c r="I29" s="10">
        <f t="shared" si="4"/>
        <v>30</v>
      </c>
      <c r="J29" s="11"/>
      <c r="O29" s="12" t="str">
        <f t="shared" si="3"/>
        <v>TPfC Phase 3</v>
      </c>
      <c r="P29" s="12" t="s">
        <v>18</v>
      </c>
      <c r="Q29" s="12"/>
      <c r="R29" s="12"/>
      <c r="S29" s="18"/>
      <c r="T29" s="18"/>
      <c r="U29" s="18"/>
      <c r="V29" s="18"/>
      <c r="W29" s="18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O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O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O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16</v>
      </c>
      <c r="F33" s="7" t="s">
        <v>17</v>
      </c>
      <c r="G33" s="8">
        <v>7.5</v>
      </c>
      <c r="H33" s="9">
        <v>15.0</v>
      </c>
      <c r="I33" s="10">
        <f t="shared" si="4"/>
        <v>30</v>
      </c>
      <c r="J33" s="11"/>
      <c r="O33" s="12" t="str">
        <f t="shared" si="3"/>
        <v>TPfC Phase 3</v>
      </c>
      <c r="P33" s="12" t="s">
        <v>18</v>
      </c>
      <c r="Q33" s="12"/>
      <c r="R33" s="12"/>
      <c r="S33" s="18"/>
      <c r="T33" s="18"/>
      <c r="U33" s="18"/>
      <c r="V33" s="18"/>
      <c r="W33" s="18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16</v>
      </c>
      <c r="F34" s="7" t="s">
        <v>17</v>
      </c>
      <c r="G34" s="8">
        <v>4.0</v>
      </c>
      <c r="H34" s="9">
        <v>8.0</v>
      </c>
      <c r="I34" s="10">
        <f t="shared" si="4"/>
        <v>30</v>
      </c>
      <c r="J34" s="11"/>
      <c r="O34" s="12" t="str">
        <f t="shared" si="3"/>
        <v>TPfC Phase 3</v>
      </c>
      <c r="P34" s="12" t="s">
        <v>18</v>
      </c>
      <c r="Q34" s="12"/>
      <c r="R34" s="12"/>
      <c r="S34" s="18"/>
      <c r="T34" s="18"/>
      <c r="U34" s="18"/>
      <c r="V34" s="18"/>
      <c r="W34" s="18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16</v>
      </c>
      <c r="F35" s="7" t="s">
        <v>17</v>
      </c>
      <c r="G35" s="8">
        <v>8.5</v>
      </c>
      <c r="H35" s="9">
        <v>17.0</v>
      </c>
      <c r="I35" s="10">
        <f t="shared" si="4"/>
        <v>30</v>
      </c>
      <c r="J35" s="11"/>
      <c r="O35" s="12" t="str">
        <f t="shared" si="3"/>
        <v>TPfC Phase 3</v>
      </c>
      <c r="P35" s="12" t="s">
        <v>18</v>
      </c>
      <c r="Q35" s="12"/>
      <c r="R35" s="12"/>
      <c r="S35" s="18"/>
      <c r="T35" s="18"/>
      <c r="U35" s="18"/>
      <c r="V35" s="18"/>
      <c r="W35" s="18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O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O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O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O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O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16</v>
      </c>
      <c r="F41" s="7" t="s">
        <v>17</v>
      </c>
      <c r="G41" s="8">
        <v>7.5</v>
      </c>
      <c r="H41" s="9">
        <v>18.0</v>
      </c>
      <c r="I41" s="10">
        <f t="shared" si="4"/>
        <v>25</v>
      </c>
      <c r="J41" s="11"/>
      <c r="O41" s="12" t="str">
        <f t="shared" si="3"/>
        <v>TPfC Phase 3</v>
      </c>
      <c r="P41" s="12" t="s">
        <v>18</v>
      </c>
      <c r="Q41" s="12"/>
      <c r="R41" s="12"/>
      <c r="S41" s="18"/>
      <c r="T41" s="18"/>
      <c r="U41" s="18"/>
      <c r="V41" s="18"/>
      <c r="W41" s="18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16</v>
      </c>
      <c r="F42" s="7" t="s">
        <v>17</v>
      </c>
      <c r="G42" s="8">
        <v>7.5</v>
      </c>
      <c r="H42" s="9">
        <v>20.0</v>
      </c>
      <c r="I42" s="10">
        <f t="shared" si="4"/>
        <v>22.5</v>
      </c>
      <c r="J42" s="11"/>
      <c r="O42" s="12" t="str">
        <f t="shared" si="3"/>
        <v>TPfC Phase 3</v>
      </c>
      <c r="P42" s="12" t="s">
        <v>18</v>
      </c>
      <c r="Q42" s="12"/>
      <c r="R42" s="12"/>
      <c r="S42" s="18"/>
      <c r="T42" s="18"/>
      <c r="U42" s="18"/>
      <c r="V42" s="18"/>
      <c r="W42" s="18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16</v>
      </c>
      <c r="F43" s="7" t="s">
        <v>17</v>
      </c>
      <c r="G43" s="8">
        <v>5.0</v>
      </c>
      <c r="H43" s="9">
        <v>11.0</v>
      </c>
      <c r="I43" s="10">
        <f t="shared" si="4"/>
        <v>27.27272727</v>
      </c>
      <c r="J43" s="11"/>
      <c r="O43" s="12" t="str">
        <f t="shared" si="3"/>
        <v>TPfC Phase 3</v>
      </c>
      <c r="P43" s="12" t="s">
        <v>18</v>
      </c>
      <c r="Q43" s="12"/>
      <c r="R43" s="12"/>
      <c r="S43" s="18"/>
      <c r="T43" s="18"/>
      <c r="U43" s="18"/>
      <c r="V43" s="18"/>
      <c r="W43" s="18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O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O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O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/>
      <c r="F47" s="7"/>
      <c r="G47" s="16"/>
      <c r="H47" s="14"/>
      <c r="I47" s="10" t="str">
        <f t="shared" si="4"/>
        <v/>
      </c>
      <c r="J47" s="11"/>
      <c r="O47" s="12" t="str">
        <f t="shared" si="3"/>
        <v/>
      </c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16</v>
      </c>
      <c r="F48" s="7" t="s">
        <v>17</v>
      </c>
      <c r="G48" s="8">
        <v>8.0</v>
      </c>
      <c r="H48" s="9">
        <v>15.0</v>
      </c>
      <c r="I48" s="10">
        <f t="shared" si="4"/>
        <v>32</v>
      </c>
      <c r="J48" s="11"/>
      <c r="O48" s="12" t="str">
        <f t="shared" si="3"/>
        <v>TPfC Phase 3</v>
      </c>
      <c r="P48" s="12" t="s">
        <v>18</v>
      </c>
      <c r="Q48" s="12"/>
      <c r="R48" s="12"/>
      <c r="S48" s="18"/>
      <c r="T48" s="18"/>
      <c r="U48" s="18"/>
      <c r="V48" s="18"/>
      <c r="W48" s="18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4.0</v>
      </c>
      <c r="H49" s="9">
        <v>10.0</v>
      </c>
      <c r="I49" s="10">
        <f t="shared" si="4"/>
        <v>24</v>
      </c>
      <c r="J49" s="11"/>
      <c r="O49" s="12" t="str">
        <f t="shared" si="3"/>
        <v>Netherlands</v>
      </c>
      <c r="P49" s="12" t="s">
        <v>12</v>
      </c>
      <c r="Q49" s="12" t="s">
        <v>13</v>
      </c>
      <c r="R49" s="12" t="s">
        <v>14</v>
      </c>
      <c r="S49" s="12"/>
      <c r="T49" s="12"/>
      <c r="U49" s="12"/>
      <c r="V49" s="12"/>
      <c r="W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 t="s">
        <v>11</v>
      </c>
      <c r="F50" s="7" t="s">
        <v>13</v>
      </c>
      <c r="G50" s="8">
        <v>8.0</v>
      </c>
      <c r="H50" s="9">
        <v>20.0</v>
      </c>
      <c r="I50" s="10">
        <f t="shared" si="4"/>
        <v>24</v>
      </c>
      <c r="J50" s="11"/>
      <c r="O50" s="12" t="str">
        <f t="shared" si="3"/>
        <v>Netherlands</v>
      </c>
      <c r="P50" s="12" t="s">
        <v>12</v>
      </c>
      <c r="Q50" s="12" t="s">
        <v>13</v>
      </c>
      <c r="R50" s="12" t="s">
        <v>14</v>
      </c>
      <c r="S50" s="12"/>
      <c r="T50" s="12"/>
      <c r="U50" s="12"/>
      <c r="V50" s="12"/>
      <c r="W50" s="12"/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O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O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O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O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 t="s">
        <v>11</v>
      </c>
      <c r="F55" s="7" t="s">
        <v>13</v>
      </c>
      <c r="G55" s="8">
        <v>7.0</v>
      </c>
      <c r="H55" s="9">
        <v>16.0</v>
      </c>
      <c r="I55" s="10">
        <f t="shared" si="4"/>
        <v>26.25</v>
      </c>
      <c r="J55" s="11"/>
      <c r="O55" s="12" t="str">
        <f t="shared" si="3"/>
        <v>Netherlands</v>
      </c>
      <c r="P55" s="12" t="s">
        <v>12</v>
      </c>
      <c r="Q55" s="12" t="s">
        <v>13</v>
      </c>
      <c r="R55" s="12" t="s">
        <v>14</v>
      </c>
      <c r="S55" s="12"/>
      <c r="T55" s="12"/>
      <c r="U55" s="12"/>
      <c r="V55" s="12"/>
      <c r="W55" s="12"/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 t="s">
        <v>11</v>
      </c>
      <c r="F56" s="7" t="s">
        <v>13</v>
      </c>
      <c r="G56" s="8">
        <v>7.0</v>
      </c>
      <c r="H56" s="9">
        <v>14.0</v>
      </c>
      <c r="I56" s="10">
        <f t="shared" si="4"/>
        <v>30</v>
      </c>
      <c r="J56" s="11"/>
      <c r="O56" s="12" t="str">
        <f t="shared" si="3"/>
        <v>Netherlands</v>
      </c>
      <c r="P56" s="12" t="s">
        <v>12</v>
      </c>
      <c r="Q56" s="12" t="s">
        <v>13</v>
      </c>
      <c r="R56" s="12" t="s">
        <v>14</v>
      </c>
      <c r="S56" s="12"/>
      <c r="T56" s="12"/>
      <c r="U56" s="12"/>
      <c r="V56" s="12"/>
      <c r="W56" s="12"/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O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O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O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O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O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O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O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O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O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O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O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O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O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O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O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O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O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O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O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O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O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O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O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O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O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O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O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O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O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O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O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O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O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O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O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O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O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O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O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O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O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O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O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O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O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O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O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O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O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O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O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O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O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O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O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O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O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O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O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O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O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O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O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O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O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O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O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O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O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O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O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O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O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O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O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O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O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O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O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O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O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O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O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O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O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O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O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O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O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O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O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O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O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O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O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O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O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O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O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O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O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O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O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O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O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O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O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O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O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O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O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O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O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O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O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O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O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O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O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O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O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O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O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O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O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O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O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O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O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O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O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O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O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O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O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O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O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O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O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O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O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O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O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O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O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O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O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O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O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O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O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O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O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O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O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O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O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O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O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O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O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O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O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O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O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O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O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O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O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O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O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O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O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O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O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O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O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O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O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O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O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O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O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O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O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O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O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O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O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O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25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44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11</v>
      </c>
      <c r="F5" s="7" t="s">
        <v>17</v>
      </c>
      <c r="G5" s="8">
        <v>8.0</v>
      </c>
      <c r="H5" s="14"/>
      <c r="I5" s="10" t="str">
        <f t="shared" si="4"/>
        <v/>
      </c>
      <c r="J5" s="11"/>
      <c r="P5" s="12" t="str">
        <f t="shared" si="3"/>
        <v>Netherlands</v>
      </c>
      <c r="Q5" s="12" t="s">
        <v>12</v>
      </c>
      <c r="R5" s="12" t="s">
        <v>13</v>
      </c>
      <c r="S5" s="12" t="s">
        <v>14</v>
      </c>
      <c r="T5" s="12"/>
      <c r="U5" s="12"/>
      <c r="V5" s="12"/>
      <c r="W5" s="12"/>
      <c r="X5" s="12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11</v>
      </c>
      <c r="F6" s="7" t="s">
        <v>17</v>
      </c>
      <c r="G6" s="8">
        <v>8.0</v>
      </c>
      <c r="H6" s="14"/>
      <c r="I6" s="10" t="str">
        <f t="shared" si="4"/>
        <v/>
      </c>
      <c r="J6" s="11"/>
      <c r="P6" s="12" t="str">
        <f t="shared" si="3"/>
        <v>Netherlands</v>
      </c>
      <c r="Q6" s="12" t="s">
        <v>12</v>
      </c>
      <c r="R6" s="12" t="s">
        <v>13</v>
      </c>
      <c r="S6" s="12" t="s">
        <v>14</v>
      </c>
      <c r="T6" s="12"/>
      <c r="U6" s="12"/>
      <c r="V6" s="12"/>
      <c r="W6" s="12"/>
      <c r="X6" s="12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11</v>
      </c>
      <c r="F7" s="7" t="s">
        <v>17</v>
      </c>
      <c r="G7" s="8">
        <v>4.0</v>
      </c>
      <c r="H7" s="14"/>
      <c r="I7" s="10" t="str">
        <f t="shared" si="4"/>
        <v/>
      </c>
      <c r="J7" s="11"/>
      <c r="P7" s="12" t="str">
        <f t="shared" si="3"/>
        <v>Netherlands</v>
      </c>
      <c r="Q7" s="12" t="s">
        <v>12</v>
      </c>
      <c r="R7" s="12" t="s">
        <v>13</v>
      </c>
      <c r="S7" s="12" t="s">
        <v>14</v>
      </c>
      <c r="T7" s="12"/>
      <c r="U7" s="12"/>
      <c r="V7" s="12"/>
      <c r="W7" s="12"/>
      <c r="X7" s="12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11</v>
      </c>
      <c r="F12" s="7" t="s">
        <v>14</v>
      </c>
      <c r="G12" s="8">
        <v>6.0</v>
      </c>
      <c r="H12" s="14"/>
      <c r="I12" s="10" t="str">
        <f t="shared" si="4"/>
        <v/>
      </c>
      <c r="J12" s="11"/>
      <c r="P12" s="12" t="str">
        <f t="shared" si="3"/>
        <v>Netherlands</v>
      </c>
      <c r="Q12" s="12" t="s">
        <v>12</v>
      </c>
      <c r="R12" s="12" t="s">
        <v>13</v>
      </c>
      <c r="S12" s="12" t="s">
        <v>14</v>
      </c>
      <c r="T12" s="12"/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/>
      <c r="F13" s="7"/>
      <c r="G13" s="16"/>
      <c r="H13" s="14"/>
      <c r="I13" s="10" t="str">
        <f t="shared" si="4"/>
        <v/>
      </c>
      <c r="J13" s="11"/>
      <c r="P13" s="12" t="str">
        <f t="shared" si="3"/>
        <v/>
      </c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19</v>
      </c>
      <c r="F14" s="7" t="s">
        <v>20</v>
      </c>
      <c r="G14" s="8">
        <v>9.0</v>
      </c>
      <c r="H14" s="14"/>
      <c r="I14" s="10" t="str">
        <f t="shared" si="4"/>
        <v/>
      </c>
      <c r="J14" s="11"/>
      <c r="P14" s="12" t="str">
        <f t="shared" si="3"/>
        <v>TPfC - Test Suite</v>
      </c>
      <c r="Q14" s="12"/>
      <c r="R14" s="12"/>
      <c r="S14" s="12"/>
      <c r="T14" s="12"/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 t="s">
        <v>11</v>
      </c>
      <c r="F17" s="7" t="s">
        <v>13</v>
      </c>
      <c r="G17" s="8">
        <v>3.0</v>
      </c>
      <c r="H17" s="14"/>
      <c r="I17" s="10" t="str">
        <f t="shared" si="4"/>
        <v/>
      </c>
      <c r="J17" s="11"/>
      <c r="P17" s="12" t="str">
        <f t="shared" si="3"/>
        <v>Netherlands</v>
      </c>
      <c r="Q17" s="12" t="s">
        <v>12</v>
      </c>
      <c r="R17" s="12" t="s">
        <v>13</v>
      </c>
      <c r="S17" s="12" t="s">
        <v>14</v>
      </c>
      <c r="T17" s="12"/>
      <c r="U17" s="12"/>
      <c r="V17" s="12"/>
      <c r="W17" s="12"/>
      <c r="X17" s="12"/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11</v>
      </c>
      <c r="F19" s="7" t="s">
        <v>14</v>
      </c>
      <c r="G19" s="8">
        <v>8.0</v>
      </c>
      <c r="H19" s="14"/>
      <c r="I19" s="10" t="str">
        <f t="shared" si="4"/>
        <v/>
      </c>
      <c r="J19" s="11"/>
      <c r="P19" s="12" t="str">
        <f t="shared" si="3"/>
        <v>Netherlands</v>
      </c>
      <c r="Q19" s="12" t="s">
        <v>12</v>
      </c>
      <c r="R19" s="12" t="s">
        <v>13</v>
      </c>
      <c r="S19" s="12" t="s">
        <v>14</v>
      </c>
      <c r="T19" s="12"/>
      <c r="U19" s="12"/>
      <c r="V19" s="12"/>
      <c r="W19" s="12"/>
      <c r="X19" s="12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11</v>
      </c>
      <c r="F20" s="7" t="s">
        <v>13</v>
      </c>
      <c r="G20" s="8">
        <v>8.0</v>
      </c>
      <c r="H20" s="14"/>
      <c r="I20" s="10" t="str">
        <f t="shared" si="4"/>
        <v/>
      </c>
      <c r="J20" s="11"/>
      <c r="P20" s="12" t="str">
        <f t="shared" si="3"/>
        <v>Netherlands</v>
      </c>
      <c r="Q20" s="12" t="s">
        <v>12</v>
      </c>
      <c r="R20" s="12" t="s">
        <v>13</v>
      </c>
      <c r="S20" s="12" t="s">
        <v>14</v>
      </c>
      <c r="T20" s="12"/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11</v>
      </c>
      <c r="F21" s="7" t="s">
        <v>13</v>
      </c>
      <c r="G21" s="8">
        <v>4.0</v>
      </c>
      <c r="H21" s="14"/>
      <c r="I21" s="10" t="str">
        <f t="shared" si="4"/>
        <v/>
      </c>
      <c r="J21" s="11"/>
      <c r="P21" s="12" t="str">
        <f t="shared" si="3"/>
        <v>Netherlands</v>
      </c>
      <c r="Q21" s="12" t="s">
        <v>12</v>
      </c>
      <c r="R21" s="12" t="s">
        <v>13</v>
      </c>
      <c r="S21" s="12" t="s">
        <v>14</v>
      </c>
      <c r="T21" s="12"/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11</v>
      </c>
      <c r="F27" s="7" t="s">
        <v>13</v>
      </c>
      <c r="G27" s="8">
        <v>8.0</v>
      </c>
      <c r="H27" s="9">
        <v>20.0</v>
      </c>
      <c r="I27" s="10">
        <f t="shared" si="4"/>
        <v>24</v>
      </c>
      <c r="J27" s="11"/>
      <c r="P27" s="12" t="str">
        <f t="shared" si="3"/>
        <v>Netherlands</v>
      </c>
      <c r="Q27" s="12" t="s">
        <v>12</v>
      </c>
      <c r="R27" s="12" t="s">
        <v>13</v>
      </c>
      <c r="S27" s="12" t="s">
        <v>14</v>
      </c>
      <c r="T27" s="12"/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11</v>
      </c>
      <c r="F28" s="7" t="s">
        <v>13</v>
      </c>
      <c r="G28" s="8">
        <v>6.0</v>
      </c>
      <c r="H28" s="9">
        <v>15.0</v>
      </c>
      <c r="I28" s="10">
        <f t="shared" si="4"/>
        <v>24</v>
      </c>
      <c r="J28" s="11"/>
      <c r="P28" s="12" t="str">
        <f t="shared" si="3"/>
        <v>Netherlands</v>
      </c>
      <c r="Q28" s="12" t="s">
        <v>12</v>
      </c>
      <c r="R28" s="12" t="s">
        <v>13</v>
      </c>
      <c r="S28" s="12" t="s">
        <v>14</v>
      </c>
      <c r="T28" s="12"/>
      <c r="U28" s="12"/>
      <c r="V28" s="12"/>
      <c r="W28" s="12"/>
      <c r="X28" s="12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11</v>
      </c>
      <c r="F29" s="7" t="s">
        <v>13</v>
      </c>
      <c r="G29" s="8">
        <v>6.0</v>
      </c>
      <c r="H29" s="9">
        <v>13.0</v>
      </c>
      <c r="I29" s="10">
        <f t="shared" si="4"/>
        <v>27.69230769</v>
      </c>
      <c r="J29" s="11"/>
      <c r="P29" s="12" t="str">
        <f t="shared" si="3"/>
        <v>Netherlands</v>
      </c>
      <c r="Q29" s="12" t="s">
        <v>12</v>
      </c>
      <c r="R29" s="12" t="s">
        <v>13</v>
      </c>
      <c r="S29" s="12" t="s">
        <v>14</v>
      </c>
      <c r="T29" s="12"/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11</v>
      </c>
      <c r="F33" s="7" t="s">
        <v>13</v>
      </c>
      <c r="G33" s="8">
        <v>6.0</v>
      </c>
      <c r="H33" s="9">
        <v>22.0</v>
      </c>
      <c r="I33" s="10">
        <f t="shared" si="4"/>
        <v>16.36363636</v>
      </c>
      <c r="J33" s="11"/>
      <c r="P33" s="12" t="str">
        <f t="shared" si="3"/>
        <v>Netherlands</v>
      </c>
      <c r="Q33" s="12" t="s">
        <v>12</v>
      </c>
      <c r="R33" s="12" t="s">
        <v>13</v>
      </c>
      <c r="S33" s="12" t="s">
        <v>14</v>
      </c>
      <c r="T33" s="12"/>
      <c r="U33" s="12"/>
      <c r="V33" s="12"/>
      <c r="W33" s="12"/>
      <c r="X33" s="12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11</v>
      </c>
      <c r="F34" s="7" t="s">
        <v>13</v>
      </c>
      <c r="G34" s="8">
        <v>8.0</v>
      </c>
      <c r="H34" s="9">
        <v>28.0</v>
      </c>
      <c r="I34" s="10">
        <f t="shared" si="4"/>
        <v>17.14285714</v>
      </c>
      <c r="J34" s="11"/>
      <c r="P34" s="12" t="str">
        <f t="shared" si="3"/>
        <v>Netherlands</v>
      </c>
      <c r="Q34" s="12" t="s">
        <v>12</v>
      </c>
      <c r="R34" s="12" t="s">
        <v>13</v>
      </c>
      <c r="S34" s="12" t="s">
        <v>14</v>
      </c>
      <c r="T34" s="12"/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11</v>
      </c>
      <c r="F35" s="7" t="s">
        <v>14</v>
      </c>
      <c r="G35" s="8">
        <v>6.0</v>
      </c>
      <c r="H35" s="9">
        <v>20.0</v>
      </c>
      <c r="I35" s="10">
        <f t="shared" si="4"/>
        <v>18</v>
      </c>
      <c r="J35" s="11"/>
      <c r="P35" s="12" t="str">
        <f t="shared" si="3"/>
        <v>Netherlands</v>
      </c>
      <c r="Q35" s="12" t="s">
        <v>12</v>
      </c>
      <c r="R35" s="12" t="s">
        <v>13</v>
      </c>
      <c r="S35" s="12" t="s">
        <v>14</v>
      </c>
      <c r="T35" s="12"/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 t="s">
        <v>11</v>
      </c>
      <c r="F40" s="7" t="s">
        <v>14</v>
      </c>
      <c r="G40" s="8">
        <v>8.0</v>
      </c>
      <c r="H40" s="9">
        <v>15.0</v>
      </c>
      <c r="I40" s="10">
        <f t="shared" si="4"/>
        <v>32</v>
      </c>
      <c r="J40" s="11"/>
      <c r="P40" s="12" t="str">
        <f t="shared" si="3"/>
        <v>Netherlands</v>
      </c>
      <c r="Q40" s="12" t="s">
        <v>12</v>
      </c>
      <c r="R40" s="12" t="s">
        <v>13</v>
      </c>
      <c r="S40" s="12" t="s">
        <v>14</v>
      </c>
      <c r="T40" s="12"/>
      <c r="U40" s="12"/>
      <c r="V40" s="12"/>
      <c r="W40" s="12"/>
      <c r="X40" s="12"/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11</v>
      </c>
      <c r="F41" s="7" t="s">
        <v>14</v>
      </c>
      <c r="G41" s="8">
        <v>6.0</v>
      </c>
      <c r="H41" s="9">
        <v>22.0</v>
      </c>
      <c r="I41" s="10">
        <f t="shared" si="4"/>
        <v>16.36363636</v>
      </c>
      <c r="J41" s="11"/>
      <c r="P41" s="12" t="str">
        <f t="shared" si="3"/>
        <v>Netherlands</v>
      </c>
      <c r="Q41" s="12" t="s">
        <v>12</v>
      </c>
      <c r="R41" s="12" t="s">
        <v>13</v>
      </c>
      <c r="S41" s="12" t="s">
        <v>14</v>
      </c>
      <c r="T41" s="12"/>
      <c r="U41" s="12"/>
      <c r="V41" s="12"/>
      <c r="W41" s="12"/>
      <c r="X41" s="12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 t="s">
        <v>14</v>
      </c>
      <c r="G42" s="8">
        <v>6.0</v>
      </c>
      <c r="H42" s="9">
        <v>16.0</v>
      </c>
      <c r="I42" s="10">
        <f t="shared" si="4"/>
        <v>22.5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/>
      <c r="F43" s="7"/>
      <c r="G43" s="16"/>
      <c r="H43" s="14"/>
      <c r="I43" s="10" t="str">
        <f t="shared" si="4"/>
        <v/>
      </c>
      <c r="J43" s="11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8"/>
      <c r="H45" s="9"/>
      <c r="I45" s="10"/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8"/>
      <c r="H46" s="9"/>
      <c r="I46" s="10"/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11</v>
      </c>
      <c r="F47" s="7" t="s">
        <v>12</v>
      </c>
      <c r="G47" s="8">
        <v>8.0</v>
      </c>
      <c r="H47" s="9">
        <v>26.0</v>
      </c>
      <c r="I47" s="10">
        <f t="shared" ref="I47:I246" si="5">IFERROR((G47/H47)*60, "")</f>
        <v>18.46153846</v>
      </c>
      <c r="J47" s="11"/>
      <c r="P47" s="12" t="str">
        <f t="shared" si="3"/>
        <v>Netherlands</v>
      </c>
      <c r="Q47" s="12" t="s">
        <v>12</v>
      </c>
      <c r="R47" s="12" t="s">
        <v>13</v>
      </c>
      <c r="S47" s="12" t="s">
        <v>14</v>
      </c>
      <c r="T47" s="12"/>
      <c r="U47" s="12"/>
      <c r="V47" s="12"/>
      <c r="W47" s="12"/>
      <c r="X47" s="12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11</v>
      </c>
      <c r="F48" s="7" t="s">
        <v>12</v>
      </c>
      <c r="G48" s="8">
        <v>6.0</v>
      </c>
      <c r="H48" s="9">
        <v>20.0</v>
      </c>
      <c r="I48" s="10">
        <f t="shared" si="5"/>
        <v>18</v>
      </c>
      <c r="J48" s="11"/>
      <c r="P48" s="12" t="str">
        <f t="shared" si="3"/>
        <v>Netherlands</v>
      </c>
      <c r="Q48" s="12" t="s">
        <v>12</v>
      </c>
      <c r="R48" s="12" t="s">
        <v>13</v>
      </c>
      <c r="S48" s="12" t="s">
        <v>14</v>
      </c>
      <c r="T48" s="12"/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6.0</v>
      </c>
      <c r="H49" s="9">
        <v>21.0</v>
      </c>
      <c r="I49" s="10">
        <f t="shared" si="5"/>
        <v>17.14285714</v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5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5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5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 t="s">
        <v>11</v>
      </c>
      <c r="F53" s="7" t="s">
        <v>13</v>
      </c>
      <c r="G53" s="8">
        <v>8.0</v>
      </c>
      <c r="H53" s="9">
        <v>25.0</v>
      </c>
      <c r="I53" s="10">
        <f t="shared" si="5"/>
        <v>19.2</v>
      </c>
      <c r="J53" s="11"/>
      <c r="P53" s="12" t="str">
        <f t="shared" si="3"/>
        <v>Netherlands</v>
      </c>
      <c r="Q53" s="12" t="s">
        <v>12</v>
      </c>
      <c r="R53" s="12" t="s">
        <v>13</v>
      </c>
      <c r="S53" s="12" t="s">
        <v>14</v>
      </c>
      <c r="T53" s="12"/>
      <c r="U53" s="12"/>
      <c r="V53" s="12"/>
      <c r="W53" s="12"/>
      <c r="X53" s="12"/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11</v>
      </c>
      <c r="F54" s="7" t="s">
        <v>13</v>
      </c>
      <c r="G54" s="8">
        <v>6.0</v>
      </c>
      <c r="H54" s="9">
        <v>18.0</v>
      </c>
      <c r="I54" s="10">
        <f t="shared" si="5"/>
        <v>20</v>
      </c>
      <c r="J54" s="11"/>
      <c r="P54" s="12" t="str">
        <f t="shared" si="3"/>
        <v>Netherlands</v>
      </c>
      <c r="Q54" s="12" t="s">
        <v>12</v>
      </c>
      <c r="R54" s="12" t="s">
        <v>13</v>
      </c>
      <c r="S54" s="12" t="s">
        <v>14</v>
      </c>
      <c r="T54" s="12"/>
      <c r="U54" s="12"/>
      <c r="V54" s="12"/>
      <c r="W54" s="12"/>
      <c r="X54" s="12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5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5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5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5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5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5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5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5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5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5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5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5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5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5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5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5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5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5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5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5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5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5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5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5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5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5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5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5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5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5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5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5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5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5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5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5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5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5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5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5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5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5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5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5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5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5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5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5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5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5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5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5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5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5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5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5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5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5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5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5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5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5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5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5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5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5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5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5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5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5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5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5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5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5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5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5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5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5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5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5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5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5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5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5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5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5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5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5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5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5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5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5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5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5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5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5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5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5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5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5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5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5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5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5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5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5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5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5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5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5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5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5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5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5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5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5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5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5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5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5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5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5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5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5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5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5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5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5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5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5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5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5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5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5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5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5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5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5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5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5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5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5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5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5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5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5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5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5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5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5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5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5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5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5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5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5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5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5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5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5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5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5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5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5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5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5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5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5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5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5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5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5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5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5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5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5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5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5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5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5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5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5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5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5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5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5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5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5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5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5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5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5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si="4"/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11</v>
      </c>
      <c r="F7" s="7" t="s">
        <v>14</v>
      </c>
      <c r="G7" s="8">
        <v>5.0</v>
      </c>
      <c r="H7" s="14">
        <f>16+14</f>
        <v>30</v>
      </c>
      <c r="I7" s="10">
        <f t="shared" si="4"/>
        <v>10</v>
      </c>
      <c r="J7" s="11"/>
      <c r="P7" s="12" t="str">
        <f t="shared" si="3"/>
        <v>Netherlands</v>
      </c>
      <c r="Q7" s="12" t="s">
        <v>12</v>
      </c>
      <c r="R7" s="12" t="s">
        <v>13</v>
      </c>
      <c r="S7" s="12" t="s">
        <v>14</v>
      </c>
      <c r="T7" s="12"/>
      <c r="U7" s="12"/>
      <c r="V7" s="12"/>
      <c r="W7" s="12"/>
      <c r="X7" s="12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 t="s">
        <v>11</v>
      </c>
      <c r="F8" s="7" t="s">
        <v>14</v>
      </c>
      <c r="G8" s="8">
        <v>5.0</v>
      </c>
      <c r="H8" s="9">
        <v>63.0</v>
      </c>
      <c r="I8" s="10">
        <f t="shared" si="4"/>
        <v>4.761904762</v>
      </c>
      <c r="J8" s="11"/>
      <c r="P8" s="12" t="str">
        <f t="shared" si="3"/>
        <v>Netherlands</v>
      </c>
      <c r="Q8" s="12" t="s">
        <v>12</v>
      </c>
      <c r="R8" s="12" t="s">
        <v>13</v>
      </c>
      <c r="S8" s="12" t="s">
        <v>14</v>
      </c>
      <c r="T8" s="12"/>
      <c r="U8" s="12"/>
      <c r="V8" s="12"/>
      <c r="W8" s="12"/>
      <c r="X8" s="12"/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4"/>
        <v/>
      </c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/>
      <c r="F13" s="7"/>
      <c r="G13" s="16"/>
      <c r="H13" s="14"/>
      <c r="I13" s="10" t="str">
        <f t="shared" si="4"/>
        <v/>
      </c>
      <c r="J13" s="11"/>
      <c r="P13" s="12" t="str">
        <f t="shared" si="3"/>
        <v/>
      </c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11</v>
      </c>
      <c r="F14" s="7" t="s">
        <v>14</v>
      </c>
      <c r="G14" s="8">
        <v>5.0</v>
      </c>
      <c r="H14" s="9">
        <v>30.0</v>
      </c>
      <c r="I14" s="10">
        <f t="shared" si="4"/>
        <v>10</v>
      </c>
      <c r="J14" s="11"/>
      <c r="P14" s="12" t="str">
        <f t="shared" si="3"/>
        <v>Netherlands</v>
      </c>
      <c r="Q14" s="12" t="s">
        <v>12</v>
      </c>
      <c r="R14" s="12" t="s">
        <v>13</v>
      </c>
      <c r="S14" s="12" t="s">
        <v>14</v>
      </c>
      <c r="T14" s="12"/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 t="s">
        <v>11</v>
      </c>
      <c r="F16" s="7" t="s">
        <v>13</v>
      </c>
      <c r="G16" s="8">
        <v>5.0</v>
      </c>
      <c r="H16" s="9">
        <v>50.0</v>
      </c>
      <c r="I16" s="10">
        <f t="shared" si="4"/>
        <v>6</v>
      </c>
      <c r="J16" s="11"/>
      <c r="P16" s="12" t="str">
        <f t="shared" si="3"/>
        <v>Netherlands</v>
      </c>
      <c r="Q16" s="12" t="s">
        <v>12</v>
      </c>
      <c r="R16" s="12" t="s">
        <v>13</v>
      </c>
      <c r="S16" s="12" t="s">
        <v>14</v>
      </c>
      <c r="T16" s="12"/>
      <c r="U16" s="12"/>
      <c r="V16" s="12"/>
      <c r="W16" s="12"/>
      <c r="X16" s="12"/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0" t="str">
        <f t="shared" si="4"/>
        <v/>
      </c>
      <c r="J20" s="11"/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11</v>
      </c>
      <c r="F21" s="7" t="s">
        <v>13</v>
      </c>
      <c r="G21" s="8">
        <v>5.0</v>
      </c>
      <c r="H21" s="9">
        <v>50.0</v>
      </c>
      <c r="I21" s="10">
        <f t="shared" si="4"/>
        <v>6</v>
      </c>
      <c r="J21" s="11"/>
      <c r="P21" s="12" t="str">
        <f t="shared" si="3"/>
        <v>Netherlands</v>
      </c>
      <c r="Q21" s="12" t="s">
        <v>12</v>
      </c>
      <c r="R21" s="12" t="s">
        <v>13</v>
      </c>
      <c r="S21" s="12" t="s">
        <v>14</v>
      </c>
      <c r="T21" s="12"/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11</v>
      </c>
      <c r="F22" s="7" t="s">
        <v>13</v>
      </c>
      <c r="G22" s="8">
        <v>5.0</v>
      </c>
      <c r="H22" s="9">
        <v>25.0</v>
      </c>
      <c r="I22" s="10">
        <f t="shared" si="4"/>
        <v>12</v>
      </c>
      <c r="J22" s="11"/>
      <c r="P22" s="12" t="str">
        <f t="shared" si="3"/>
        <v>Netherlands</v>
      </c>
      <c r="Q22" s="12" t="s">
        <v>12</v>
      </c>
      <c r="R22" s="12" t="s">
        <v>13</v>
      </c>
      <c r="S22" s="12" t="s">
        <v>14</v>
      </c>
      <c r="T22" s="12"/>
      <c r="U22" s="12"/>
      <c r="V22" s="12"/>
      <c r="W22" s="12"/>
      <c r="X22" s="12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/>
      <c r="F27" s="7"/>
      <c r="G27" s="16"/>
      <c r="H27" s="14"/>
      <c r="I27" s="10" t="str">
        <f t="shared" si="4"/>
        <v/>
      </c>
      <c r="J27" s="11"/>
      <c r="P27" s="12" t="str">
        <f t="shared" si="3"/>
        <v/>
      </c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11</v>
      </c>
      <c r="F28" s="7" t="s">
        <v>13</v>
      </c>
      <c r="G28" s="8">
        <v>5.0</v>
      </c>
      <c r="H28" s="9">
        <v>35.0</v>
      </c>
      <c r="I28" s="10">
        <f t="shared" si="4"/>
        <v>8.571428571</v>
      </c>
      <c r="J28" s="11"/>
      <c r="P28" s="12" t="str">
        <f t="shared" si="3"/>
        <v>Netherlands</v>
      </c>
      <c r="Q28" s="12" t="s">
        <v>12</v>
      </c>
      <c r="R28" s="12" t="s">
        <v>13</v>
      </c>
      <c r="S28" s="12" t="s">
        <v>14</v>
      </c>
      <c r="T28" s="12"/>
      <c r="U28" s="12"/>
      <c r="V28" s="12"/>
      <c r="W28" s="12"/>
      <c r="X28" s="12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11</v>
      </c>
      <c r="F29" s="7" t="s">
        <v>13</v>
      </c>
      <c r="G29" s="8">
        <v>5.0</v>
      </c>
      <c r="H29" s="9">
        <v>40.0</v>
      </c>
      <c r="I29" s="10">
        <f t="shared" si="4"/>
        <v>7.5</v>
      </c>
      <c r="J29" s="11"/>
      <c r="P29" s="12" t="str">
        <f t="shared" si="3"/>
        <v>Netherlands</v>
      </c>
      <c r="Q29" s="12" t="s">
        <v>12</v>
      </c>
      <c r="R29" s="12" t="s">
        <v>13</v>
      </c>
      <c r="S29" s="12" t="s">
        <v>14</v>
      </c>
      <c r="T29" s="12"/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16"/>
      <c r="H33" s="14"/>
      <c r="I33" s="10" t="str">
        <f t="shared" si="4"/>
        <v/>
      </c>
      <c r="J33" s="11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11</v>
      </c>
      <c r="F34" s="7" t="s">
        <v>13</v>
      </c>
      <c r="G34" s="8">
        <v>5.0</v>
      </c>
      <c r="H34" s="9">
        <v>48.0</v>
      </c>
      <c r="I34" s="10">
        <f t="shared" si="4"/>
        <v>6.25</v>
      </c>
      <c r="J34" s="11"/>
      <c r="P34" s="12" t="str">
        <f t="shared" si="3"/>
        <v>Netherlands</v>
      </c>
      <c r="Q34" s="12" t="s">
        <v>12</v>
      </c>
      <c r="R34" s="12" t="s">
        <v>13</v>
      </c>
      <c r="S34" s="12" t="s">
        <v>14</v>
      </c>
      <c r="T34" s="12"/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11</v>
      </c>
      <c r="F35" s="7" t="s">
        <v>13</v>
      </c>
      <c r="G35" s="8">
        <v>5.0</v>
      </c>
      <c r="H35" s="9">
        <v>49.0</v>
      </c>
      <c r="I35" s="10">
        <f t="shared" si="4"/>
        <v>6.12244898</v>
      </c>
      <c r="J35" s="11"/>
      <c r="P35" s="12" t="str">
        <f t="shared" si="3"/>
        <v>Netherlands</v>
      </c>
      <c r="Q35" s="12" t="s">
        <v>12</v>
      </c>
      <c r="R35" s="12" t="s">
        <v>13</v>
      </c>
      <c r="S35" s="12" t="s">
        <v>14</v>
      </c>
      <c r="T35" s="12"/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/>
      <c r="F41" s="7"/>
      <c r="G41" s="16"/>
      <c r="H41" s="14"/>
      <c r="I41" s="10" t="str">
        <f t="shared" si="4"/>
        <v/>
      </c>
      <c r="J41" s="11"/>
      <c r="P41" s="12" t="str">
        <f t="shared" si="3"/>
        <v/>
      </c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 t="s">
        <v>13</v>
      </c>
      <c r="G42" s="8">
        <v>5.0</v>
      </c>
      <c r="H42" s="9">
        <v>33.0</v>
      </c>
      <c r="I42" s="10">
        <f t="shared" si="4"/>
        <v>9.090909091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11</v>
      </c>
      <c r="F43" s="7" t="s">
        <v>12</v>
      </c>
      <c r="G43" s="8">
        <v>5.0</v>
      </c>
      <c r="H43" s="9">
        <v>40.0</v>
      </c>
      <c r="I43" s="10">
        <f t="shared" si="4"/>
        <v>7.5</v>
      </c>
      <c r="J43" s="11"/>
      <c r="P43" s="12" t="str">
        <f t="shared" si="3"/>
        <v>Netherlands</v>
      </c>
      <c r="Q43" s="12" t="s">
        <v>12</v>
      </c>
      <c r="R43" s="12" t="s">
        <v>13</v>
      </c>
      <c r="S43" s="12" t="s">
        <v>14</v>
      </c>
      <c r="T43" s="12"/>
      <c r="U43" s="12"/>
      <c r="V43" s="12"/>
      <c r="W43" s="12"/>
      <c r="X43" s="12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/>
      <c r="F47" s="7"/>
      <c r="G47" s="16"/>
      <c r="H47" s="14"/>
      <c r="I47" s="10" t="str">
        <f t="shared" si="4"/>
        <v/>
      </c>
      <c r="J47" s="11"/>
      <c r="P47" s="12" t="str">
        <f t="shared" si="3"/>
        <v/>
      </c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/>
      <c r="F48" s="7"/>
      <c r="G48" s="16"/>
      <c r="H48" s="14"/>
      <c r="I48" s="10" t="str">
        <f t="shared" si="4"/>
        <v/>
      </c>
      <c r="J48" s="11"/>
      <c r="P48" s="12" t="str">
        <f t="shared" si="3"/>
        <v/>
      </c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5.0</v>
      </c>
      <c r="H49" s="9">
        <v>47.0</v>
      </c>
      <c r="I49" s="10">
        <f t="shared" si="4"/>
        <v>6.382978723</v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 t="s">
        <v>11</v>
      </c>
      <c r="F50" s="7" t="s">
        <v>13</v>
      </c>
      <c r="G50" s="8">
        <v>5.0</v>
      </c>
      <c r="H50" s="9">
        <v>33.0</v>
      </c>
      <c r="I50" s="10">
        <f t="shared" si="4"/>
        <v>9.090909091</v>
      </c>
      <c r="J50" s="11"/>
      <c r="P50" s="12" t="str">
        <f t="shared" si="3"/>
        <v>Netherlands</v>
      </c>
      <c r="Q50" s="12" t="s">
        <v>12</v>
      </c>
      <c r="R50" s="12" t="s">
        <v>13</v>
      </c>
      <c r="S50" s="12" t="s">
        <v>14</v>
      </c>
      <c r="T50" s="12"/>
      <c r="U50" s="12"/>
      <c r="V50" s="12"/>
      <c r="W50" s="12"/>
      <c r="X50" s="12"/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4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11</v>
      </c>
      <c r="F5" s="7" t="s">
        <v>14</v>
      </c>
      <c r="G5" s="8">
        <v>10.0</v>
      </c>
      <c r="H5" s="9"/>
      <c r="I5" s="10"/>
      <c r="J5" s="11"/>
      <c r="P5" s="12" t="str">
        <f t="shared" si="3"/>
        <v>Netherlands</v>
      </c>
      <c r="Q5" s="12" t="s">
        <v>12</v>
      </c>
      <c r="R5" s="12" t="s">
        <v>13</v>
      </c>
      <c r="S5" s="12" t="s">
        <v>14</v>
      </c>
      <c r="T5" s="12"/>
      <c r="U5" s="12"/>
      <c r="V5" s="12"/>
      <c r="W5" s="12"/>
      <c r="X5" s="12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ref="I6:I246" si="5">IFERROR((G6/H6)*60, "")</f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5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 t="s">
        <v>11</v>
      </c>
      <c r="F8" s="7" t="s">
        <v>14</v>
      </c>
      <c r="G8" s="8">
        <v>10.0</v>
      </c>
      <c r="H8" s="14"/>
      <c r="I8" s="10" t="str">
        <f t="shared" si="5"/>
        <v/>
      </c>
      <c r="J8" s="11"/>
      <c r="P8" s="12" t="str">
        <f t="shared" si="3"/>
        <v>Netherlands</v>
      </c>
      <c r="Q8" s="12" t="s">
        <v>12</v>
      </c>
      <c r="R8" s="12" t="s">
        <v>13</v>
      </c>
      <c r="S8" s="12" t="s">
        <v>14</v>
      </c>
      <c r="T8" s="12"/>
      <c r="U8" s="12"/>
      <c r="V8" s="12"/>
      <c r="W8" s="12"/>
      <c r="X8" s="12"/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5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5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5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5"/>
        <v/>
      </c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16</v>
      </c>
      <c r="F13" s="7" t="s">
        <v>17</v>
      </c>
      <c r="G13" s="8">
        <v>10.0</v>
      </c>
      <c r="H13" s="9">
        <v>19.0</v>
      </c>
      <c r="I13" s="10">
        <f t="shared" si="5"/>
        <v>31.57894737</v>
      </c>
      <c r="J13" s="11"/>
      <c r="P13" s="12" t="str">
        <f t="shared" si="3"/>
        <v>TPfC Phase 3</v>
      </c>
      <c r="Q13" s="12" t="s">
        <v>18</v>
      </c>
      <c r="R13" s="12"/>
      <c r="S13" s="12"/>
      <c r="T13" s="18"/>
      <c r="U13" s="18"/>
      <c r="V13" s="18"/>
      <c r="W13" s="18"/>
      <c r="X13" s="18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/>
      <c r="F14" s="7"/>
      <c r="G14" s="16"/>
      <c r="H14" s="14"/>
      <c r="I14" s="10" t="str">
        <f t="shared" si="5"/>
        <v/>
      </c>
      <c r="J14" s="11"/>
      <c r="P14" s="12" t="str">
        <f t="shared" si="3"/>
        <v/>
      </c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 t="s">
        <v>16</v>
      </c>
      <c r="F15" s="7" t="s">
        <v>17</v>
      </c>
      <c r="G15" s="8">
        <v>10.0</v>
      </c>
      <c r="H15" s="9">
        <v>19.0</v>
      </c>
      <c r="I15" s="10">
        <f t="shared" si="5"/>
        <v>31.57894737</v>
      </c>
      <c r="J15" s="11"/>
      <c r="P15" s="12" t="str">
        <f t="shared" si="3"/>
        <v>TPfC Phase 3</v>
      </c>
      <c r="Q15" s="12" t="s">
        <v>18</v>
      </c>
      <c r="R15" s="12"/>
      <c r="S15" s="12"/>
      <c r="T15" s="18"/>
      <c r="U15" s="18"/>
      <c r="V15" s="18"/>
      <c r="W15" s="18"/>
      <c r="X15" s="18"/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5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5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5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5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0" t="str">
        <f t="shared" si="5"/>
        <v/>
      </c>
      <c r="J20" s="11"/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/>
      <c r="F21" s="7"/>
      <c r="G21" s="16"/>
      <c r="H21" s="14"/>
      <c r="I21" s="10" t="str">
        <f t="shared" si="5"/>
        <v/>
      </c>
      <c r="J21" s="11"/>
      <c r="P21" s="12" t="str">
        <f t="shared" si="3"/>
        <v/>
      </c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16</v>
      </c>
      <c r="F22" s="7" t="s">
        <v>17</v>
      </c>
      <c r="G22" s="8">
        <v>10.0</v>
      </c>
      <c r="H22" s="9">
        <v>19.0</v>
      </c>
      <c r="I22" s="10">
        <f t="shared" si="5"/>
        <v>31.57894737</v>
      </c>
      <c r="J22" s="11"/>
      <c r="P22" s="12" t="str">
        <f t="shared" si="3"/>
        <v>TPfC Phase 3</v>
      </c>
      <c r="Q22" s="12" t="s">
        <v>18</v>
      </c>
      <c r="R22" s="12"/>
      <c r="S22" s="12"/>
      <c r="T22" s="18"/>
      <c r="U22" s="18"/>
      <c r="V22" s="18"/>
      <c r="W22" s="18"/>
      <c r="X22" s="18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 t="s">
        <v>16</v>
      </c>
      <c r="F23" s="7" t="s">
        <v>17</v>
      </c>
      <c r="G23" s="8">
        <v>10.0</v>
      </c>
      <c r="H23" s="9">
        <v>18.0</v>
      </c>
      <c r="I23" s="10">
        <f t="shared" si="5"/>
        <v>33.33333333</v>
      </c>
      <c r="J23" s="11"/>
      <c r="P23" s="12" t="str">
        <f t="shared" si="3"/>
        <v>TPfC Phase 3</v>
      </c>
      <c r="Q23" s="12" t="s">
        <v>18</v>
      </c>
      <c r="R23" s="12"/>
      <c r="S23" s="12"/>
      <c r="T23" s="18"/>
      <c r="U23" s="18"/>
      <c r="V23" s="18"/>
      <c r="W23" s="18"/>
      <c r="X23" s="18"/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5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5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5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16</v>
      </c>
      <c r="F27" s="7" t="s">
        <v>17</v>
      </c>
      <c r="G27" s="8">
        <v>10.0</v>
      </c>
      <c r="H27" s="9">
        <v>45.0</v>
      </c>
      <c r="I27" s="10">
        <f t="shared" si="5"/>
        <v>13.33333333</v>
      </c>
      <c r="J27" s="11"/>
      <c r="P27" s="12" t="str">
        <f t="shared" si="3"/>
        <v>TPfC Phase 3</v>
      </c>
      <c r="Q27" s="12" t="s">
        <v>18</v>
      </c>
      <c r="R27" s="12"/>
      <c r="S27" s="12"/>
      <c r="T27" s="18"/>
      <c r="U27" s="18"/>
      <c r="V27" s="18"/>
      <c r="W27" s="18"/>
      <c r="X27" s="18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16"/>
      <c r="H28" s="14"/>
      <c r="I28" s="10" t="str">
        <f t="shared" si="5"/>
        <v/>
      </c>
      <c r="J28" s="11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16</v>
      </c>
      <c r="F29" s="7" t="s">
        <v>17</v>
      </c>
      <c r="G29" s="8">
        <v>10.0</v>
      </c>
      <c r="H29" s="9">
        <v>45.0</v>
      </c>
      <c r="I29" s="10">
        <f t="shared" si="5"/>
        <v>13.33333333</v>
      </c>
      <c r="J29" s="11"/>
      <c r="P29" s="12" t="str">
        <f t="shared" si="3"/>
        <v>TPfC Phase 3</v>
      </c>
      <c r="Q29" s="12" t="s">
        <v>18</v>
      </c>
      <c r="R29" s="12"/>
      <c r="S29" s="12"/>
      <c r="T29" s="18"/>
      <c r="U29" s="18"/>
      <c r="V29" s="18"/>
      <c r="W29" s="18"/>
      <c r="X29" s="18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5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5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5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8"/>
      <c r="H33" s="14"/>
      <c r="I33" s="10" t="str">
        <f t="shared" si="5"/>
        <v/>
      </c>
      <c r="J33" s="11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16</v>
      </c>
      <c r="F34" s="7" t="s">
        <v>17</v>
      </c>
      <c r="G34" s="8">
        <v>4.0</v>
      </c>
      <c r="H34" s="9">
        <v>18.0</v>
      </c>
      <c r="I34" s="10">
        <f t="shared" si="5"/>
        <v>13.33333333</v>
      </c>
      <c r="J34" s="11"/>
      <c r="P34" s="12" t="str">
        <f t="shared" si="3"/>
        <v>TPfC Phase 3</v>
      </c>
      <c r="Q34" s="12" t="s">
        <v>18</v>
      </c>
      <c r="R34" s="12"/>
      <c r="S34" s="12"/>
      <c r="T34" s="18"/>
      <c r="U34" s="18"/>
      <c r="V34" s="18"/>
      <c r="W34" s="18"/>
      <c r="X34" s="18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/>
      <c r="F35" s="7"/>
      <c r="G35" s="16"/>
      <c r="H35" s="14"/>
      <c r="I35" s="10" t="str">
        <f t="shared" si="5"/>
        <v/>
      </c>
      <c r="J35" s="11"/>
      <c r="P35" s="12" t="str">
        <f t="shared" si="3"/>
        <v/>
      </c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 t="s">
        <v>16</v>
      </c>
      <c r="F36" s="7" t="s">
        <v>17</v>
      </c>
      <c r="G36" s="8">
        <v>8.0</v>
      </c>
      <c r="H36" s="9">
        <v>37.0</v>
      </c>
      <c r="I36" s="10">
        <f t="shared" si="5"/>
        <v>12.97297297</v>
      </c>
      <c r="J36" s="11"/>
      <c r="P36" s="12" t="str">
        <f t="shared" si="3"/>
        <v>TPfC Phase 3</v>
      </c>
      <c r="Q36" s="12" t="s">
        <v>18</v>
      </c>
      <c r="R36" s="12"/>
      <c r="S36" s="12"/>
      <c r="T36" s="18"/>
      <c r="U36" s="18"/>
      <c r="V36" s="18"/>
      <c r="W36" s="18"/>
      <c r="X36" s="18"/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 t="s">
        <v>16</v>
      </c>
      <c r="F37" s="7" t="s">
        <v>17</v>
      </c>
      <c r="G37" s="8">
        <v>8.0</v>
      </c>
      <c r="H37" s="9">
        <v>38.0</v>
      </c>
      <c r="I37" s="10">
        <f t="shared" si="5"/>
        <v>12.63157895</v>
      </c>
      <c r="J37" s="11"/>
      <c r="P37" s="12" t="str">
        <f t="shared" si="3"/>
        <v>TPfC Phase 3</v>
      </c>
      <c r="Q37" s="12" t="s">
        <v>18</v>
      </c>
      <c r="R37" s="12"/>
      <c r="S37" s="12"/>
      <c r="T37" s="18"/>
      <c r="U37" s="18"/>
      <c r="V37" s="18"/>
      <c r="W37" s="18"/>
      <c r="X37" s="18"/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5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5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5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16</v>
      </c>
      <c r="F41" s="7" t="s">
        <v>17</v>
      </c>
      <c r="G41" s="8">
        <v>4.0</v>
      </c>
      <c r="H41" s="9">
        <v>7.0</v>
      </c>
      <c r="I41" s="10">
        <f t="shared" si="5"/>
        <v>34.28571429</v>
      </c>
      <c r="J41" s="11"/>
      <c r="P41" s="12" t="str">
        <f t="shared" si="3"/>
        <v>TPfC Phase 3</v>
      </c>
      <c r="Q41" s="12" t="s">
        <v>18</v>
      </c>
      <c r="R41" s="12"/>
      <c r="S41" s="12"/>
      <c r="T41" s="18"/>
      <c r="U41" s="18"/>
      <c r="V41" s="18"/>
      <c r="W41" s="18"/>
      <c r="X41" s="18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/>
      <c r="F42" s="7"/>
      <c r="G42" s="16"/>
      <c r="H42" s="14"/>
      <c r="I42" s="10" t="str">
        <f t="shared" si="5"/>
        <v/>
      </c>
      <c r="J42" s="11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16</v>
      </c>
      <c r="F43" s="7" t="s">
        <v>17</v>
      </c>
      <c r="G43" s="8">
        <v>8.0</v>
      </c>
      <c r="H43" s="9">
        <v>15.0</v>
      </c>
      <c r="I43" s="10">
        <f t="shared" si="5"/>
        <v>32</v>
      </c>
      <c r="J43" s="11"/>
      <c r="P43" s="12" t="str">
        <f t="shared" si="3"/>
        <v>TPfC Phase 3</v>
      </c>
      <c r="Q43" s="12" t="s">
        <v>18</v>
      </c>
      <c r="R43" s="12"/>
      <c r="S43" s="12"/>
      <c r="T43" s="18"/>
      <c r="U43" s="18"/>
      <c r="V43" s="18"/>
      <c r="W43" s="18"/>
      <c r="X43" s="18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 t="s">
        <v>16</v>
      </c>
      <c r="F44" s="7" t="s">
        <v>17</v>
      </c>
      <c r="G44" s="8">
        <v>8.0</v>
      </c>
      <c r="H44" s="9">
        <v>14.0</v>
      </c>
      <c r="I44" s="10">
        <f t="shared" si="5"/>
        <v>34.28571429</v>
      </c>
      <c r="J44" s="11"/>
      <c r="P44" s="12" t="str">
        <f t="shared" si="3"/>
        <v>TPfC Phase 3</v>
      </c>
      <c r="Q44" s="12" t="s">
        <v>18</v>
      </c>
      <c r="R44" s="12"/>
      <c r="S44" s="12"/>
      <c r="T44" s="18"/>
      <c r="U44" s="18"/>
      <c r="V44" s="18"/>
      <c r="W44" s="18"/>
      <c r="X44" s="18"/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5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5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/>
      <c r="F47" s="7"/>
      <c r="G47" s="16"/>
      <c r="H47" s="14"/>
      <c r="I47" s="10" t="str">
        <f t="shared" si="5"/>
        <v/>
      </c>
      <c r="J47" s="11"/>
      <c r="P47" s="12" t="str">
        <f t="shared" si="3"/>
        <v/>
      </c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/>
      <c r="F48" s="7"/>
      <c r="G48" s="16"/>
      <c r="H48" s="14"/>
      <c r="I48" s="10" t="str">
        <f t="shared" si="5"/>
        <v/>
      </c>
      <c r="J48" s="11"/>
      <c r="P48" s="12" t="str">
        <f t="shared" si="3"/>
        <v/>
      </c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4.0</v>
      </c>
      <c r="H49" s="14"/>
      <c r="I49" s="10" t="str">
        <f t="shared" si="5"/>
        <v/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 t="s">
        <v>11</v>
      </c>
      <c r="F50" s="7" t="s">
        <v>13</v>
      </c>
      <c r="G50" s="8">
        <v>8.0</v>
      </c>
      <c r="H50" s="14"/>
      <c r="I50" s="10" t="str">
        <f t="shared" si="5"/>
        <v/>
      </c>
      <c r="J50" s="11"/>
      <c r="P50" s="12" t="str">
        <f t="shared" si="3"/>
        <v>Netherlands</v>
      </c>
      <c r="Q50" s="12" t="s">
        <v>12</v>
      </c>
      <c r="R50" s="12" t="s">
        <v>13</v>
      </c>
      <c r="S50" s="12" t="s">
        <v>14</v>
      </c>
      <c r="T50" s="12"/>
      <c r="U50" s="12"/>
      <c r="V50" s="12"/>
      <c r="W50" s="12"/>
      <c r="X50" s="12"/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 t="s">
        <v>16</v>
      </c>
      <c r="F51" s="7" t="s">
        <v>18</v>
      </c>
      <c r="G51" s="8">
        <v>8.0</v>
      </c>
      <c r="H51" s="9">
        <v>19.0</v>
      </c>
      <c r="I51" s="10">
        <f t="shared" si="5"/>
        <v>25.26315789</v>
      </c>
      <c r="J51" s="11"/>
      <c r="P51" s="12" t="str">
        <f t="shared" si="3"/>
        <v>TPfC Phase 3</v>
      </c>
      <c r="Q51" s="12" t="s">
        <v>18</v>
      </c>
      <c r="R51" s="12"/>
      <c r="S51" s="12"/>
      <c r="T51" s="18"/>
      <c r="U51" s="18"/>
      <c r="V51" s="18"/>
      <c r="W51" s="18"/>
      <c r="X51" s="18"/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5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5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5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5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5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5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5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5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5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5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5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5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5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5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5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5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5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5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5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5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5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5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5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5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5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5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5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5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5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5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5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5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5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5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5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5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5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5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5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5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5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5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5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5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5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5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5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5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5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5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5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5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5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5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5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5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5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5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5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5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5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5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5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5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5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5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5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5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5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5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5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5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5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5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5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5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5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5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5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5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5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5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5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5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5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5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5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5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5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5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5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5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5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5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5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5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5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5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5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5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5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5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5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5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5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5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5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5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5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5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5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5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5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5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5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5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5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5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5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5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5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5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5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5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5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5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5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5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5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5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5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5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5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5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5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5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5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5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5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5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5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5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5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5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5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5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5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5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5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5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5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5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5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5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5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5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5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5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5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5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5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5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5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5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5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5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5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5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5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5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5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5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5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5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5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5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5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5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5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5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5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5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5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5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5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5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5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5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5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5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5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5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5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5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5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3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9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9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9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21</v>
      </c>
      <c r="F5" s="7" t="s">
        <v>22</v>
      </c>
      <c r="G5" s="8">
        <v>8.0</v>
      </c>
      <c r="H5" s="14"/>
      <c r="I5" s="10" t="str">
        <f t="shared" si="4"/>
        <v/>
      </c>
      <c r="J5" s="20" t="s">
        <v>23</v>
      </c>
      <c r="P5" s="12" t="str">
        <f t="shared" si="3"/>
        <v>Audi Crossings QC</v>
      </c>
      <c r="Q5" s="12" t="s">
        <v>24</v>
      </c>
      <c r="R5" s="12" t="s">
        <v>25</v>
      </c>
      <c r="S5" s="12" t="s">
        <v>26</v>
      </c>
      <c r="T5" s="12" t="s">
        <v>27</v>
      </c>
      <c r="U5" s="12"/>
      <c r="V5" s="12"/>
      <c r="W5" s="12"/>
      <c r="X5" s="12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21</v>
      </c>
      <c r="F6" s="7" t="s">
        <v>22</v>
      </c>
      <c r="G6" s="8">
        <v>8.0</v>
      </c>
      <c r="H6" s="14"/>
      <c r="I6" s="10" t="str">
        <f t="shared" si="4"/>
        <v/>
      </c>
      <c r="J6" s="21" t="s">
        <v>28</v>
      </c>
      <c r="P6" s="12" t="str">
        <f t="shared" si="3"/>
        <v>Audi Crossings QC</v>
      </c>
      <c r="Q6" s="12" t="s">
        <v>24</v>
      </c>
      <c r="R6" s="12" t="s">
        <v>25</v>
      </c>
      <c r="S6" s="12" t="s">
        <v>26</v>
      </c>
      <c r="T6" s="12" t="s">
        <v>27</v>
      </c>
      <c r="U6" s="12"/>
      <c r="V6" s="12"/>
      <c r="W6" s="12"/>
      <c r="X6" s="12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21</v>
      </c>
      <c r="F7" s="7" t="s">
        <v>22</v>
      </c>
      <c r="G7" s="8">
        <v>4.0</v>
      </c>
      <c r="H7" s="14"/>
      <c r="I7" s="10" t="str">
        <f t="shared" si="4"/>
        <v/>
      </c>
      <c r="J7" s="21" t="s">
        <v>29</v>
      </c>
      <c r="P7" s="12" t="str">
        <f t="shared" si="3"/>
        <v>Audi Crossings QC</v>
      </c>
      <c r="Q7" s="12" t="s">
        <v>24</v>
      </c>
      <c r="R7" s="12" t="s">
        <v>25</v>
      </c>
      <c r="S7" s="12" t="s">
        <v>26</v>
      </c>
      <c r="T7" s="12" t="s">
        <v>27</v>
      </c>
      <c r="U7" s="12"/>
      <c r="V7" s="12"/>
      <c r="W7" s="12"/>
      <c r="X7" s="12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9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9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9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9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21</v>
      </c>
      <c r="F12" s="7" t="s">
        <v>22</v>
      </c>
      <c r="G12" s="8">
        <v>8.0</v>
      </c>
      <c r="H12" s="14"/>
      <c r="I12" s="10" t="str">
        <f t="shared" si="4"/>
        <v/>
      </c>
      <c r="J12" s="22" t="s">
        <v>30</v>
      </c>
      <c r="P12" s="12" t="str">
        <f t="shared" si="3"/>
        <v>Audi Crossings QC</v>
      </c>
      <c r="Q12" s="12" t="s">
        <v>24</v>
      </c>
      <c r="R12" s="12" t="s">
        <v>25</v>
      </c>
      <c r="S12" s="12" t="s">
        <v>26</v>
      </c>
      <c r="T12" s="12" t="s">
        <v>27</v>
      </c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19</v>
      </c>
      <c r="F13" s="7" t="s">
        <v>20</v>
      </c>
      <c r="G13" s="8">
        <v>9.0</v>
      </c>
      <c r="H13" s="14"/>
      <c r="I13" s="10" t="str">
        <f t="shared" si="4"/>
        <v/>
      </c>
      <c r="J13" s="20" t="s">
        <v>31</v>
      </c>
      <c r="P13" s="12" t="str">
        <f t="shared" si="3"/>
        <v>TPfC - Test Suite</v>
      </c>
      <c r="Q13" s="12"/>
      <c r="R13" s="12"/>
      <c r="S13" s="12"/>
      <c r="T13" s="12"/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21</v>
      </c>
      <c r="F14" s="7" t="s">
        <v>22</v>
      </c>
      <c r="G14" s="8">
        <v>3.0</v>
      </c>
      <c r="H14" s="14"/>
      <c r="I14" s="10" t="str">
        <f t="shared" si="4"/>
        <v/>
      </c>
      <c r="J14" s="22" t="s">
        <v>30</v>
      </c>
      <c r="P14" s="12" t="str">
        <f t="shared" si="3"/>
        <v>Audi Crossings QC</v>
      </c>
      <c r="Q14" s="12" t="s">
        <v>24</v>
      </c>
      <c r="R14" s="12" t="s">
        <v>25</v>
      </c>
      <c r="S14" s="12" t="s">
        <v>26</v>
      </c>
      <c r="T14" s="12" t="s">
        <v>27</v>
      </c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9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9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9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9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21</v>
      </c>
      <c r="F19" s="7" t="s">
        <v>22</v>
      </c>
      <c r="G19" s="8">
        <v>8.0</v>
      </c>
      <c r="H19" s="14"/>
      <c r="I19" s="10" t="str">
        <f t="shared" si="4"/>
        <v/>
      </c>
      <c r="J19" s="23" t="s">
        <v>32</v>
      </c>
      <c r="P19" s="12" t="str">
        <f t="shared" si="3"/>
        <v>Audi Crossings QC</v>
      </c>
      <c r="Q19" s="12" t="s">
        <v>24</v>
      </c>
      <c r="R19" s="12" t="s">
        <v>25</v>
      </c>
      <c r="S19" s="12" t="s">
        <v>26</v>
      </c>
      <c r="T19" s="12" t="s">
        <v>27</v>
      </c>
      <c r="U19" s="12"/>
      <c r="V19" s="12"/>
      <c r="W19" s="12"/>
      <c r="X19" s="12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21</v>
      </c>
      <c r="F20" s="7" t="s">
        <v>22</v>
      </c>
      <c r="G20" s="8">
        <v>6.0</v>
      </c>
      <c r="H20" s="14"/>
      <c r="I20" s="10" t="str">
        <f t="shared" si="4"/>
        <v/>
      </c>
      <c r="J20" s="23" t="s">
        <v>33</v>
      </c>
      <c r="P20" s="12" t="str">
        <f t="shared" si="3"/>
        <v>Audi Crossings QC</v>
      </c>
      <c r="Q20" s="12" t="s">
        <v>24</v>
      </c>
      <c r="R20" s="12" t="s">
        <v>25</v>
      </c>
      <c r="S20" s="12" t="s">
        <v>26</v>
      </c>
      <c r="T20" s="12" t="s">
        <v>27</v>
      </c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21</v>
      </c>
      <c r="F21" s="7" t="s">
        <v>22</v>
      </c>
      <c r="G21" s="8">
        <v>6.0</v>
      </c>
      <c r="H21" s="14"/>
      <c r="I21" s="10" t="str">
        <f t="shared" si="4"/>
        <v/>
      </c>
      <c r="J21" s="24" t="s">
        <v>34</v>
      </c>
      <c r="P21" s="12" t="str">
        <f t="shared" si="3"/>
        <v>Audi Crossings QC</v>
      </c>
      <c r="Q21" s="12" t="s">
        <v>24</v>
      </c>
      <c r="R21" s="12" t="s">
        <v>25</v>
      </c>
      <c r="S21" s="12" t="s">
        <v>26</v>
      </c>
      <c r="T21" s="12" t="s">
        <v>27</v>
      </c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9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9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9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9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9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/>
      <c r="F27" s="7"/>
      <c r="G27" s="16"/>
      <c r="H27" s="14"/>
      <c r="I27" s="10" t="str">
        <f t="shared" si="4"/>
        <v/>
      </c>
      <c r="J27" s="19"/>
      <c r="P27" s="12" t="str">
        <f t="shared" si="3"/>
        <v/>
      </c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16"/>
      <c r="H28" s="14"/>
      <c r="I28" s="10" t="str">
        <f t="shared" si="4"/>
        <v/>
      </c>
      <c r="J28" s="19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21</v>
      </c>
      <c r="F29" s="7" t="s">
        <v>22</v>
      </c>
      <c r="G29" s="8">
        <v>8.0</v>
      </c>
      <c r="H29" s="9">
        <v>26.0</v>
      </c>
      <c r="I29" s="10">
        <f t="shared" si="4"/>
        <v>18.46153846</v>
      </c>
      <c r="J29" s="24" t="s">
        <v>35</v>
      </c>
      <c r="P29" s="12" t="str">
        <f t="shared" si="3"/>
        <v>Audi Crossings QC</v>
      </c>
      <c r="Q29" s="12" t="s">
        <v>24</v>
      </c>
      <c r="R29" s="12" t="s">
        <v>25</v>
      </c>
      <c r="S29" s="12" t="s">
        <v>26</v>
      </c>
      <c r="T29" s="12" t="s">
        <v>27</v>
      </c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 t="s">
        <v>21</v>
      </c>
      <c r="F30" s="7" t="s">
        <v>22</v>
      </c>
      <c r="G30" s="8">
        <v>6.0</v>
      </c>
      <c r="H30" s="9">
        <v>15.0</v>
      </c>
      <c r="I30" s="10">
        <f t="shared" si="4"/>
        <v>24</v>
      </c>
      <c r="J30" s="24" t="s">
        <v>36</v>
      </c>
      <c r="P30" s="12" t="str">
        <f t="shared" si="3"/>
        <v>Audi Crossings QC</v>
      </c>
      <c r="Q30" s="12" t="s">
        <v>24</v>
      </c>
      <c r="R30" s="12" t="s">
        <v>25</v>
      </c>
      <c r="S30" s="12" t="s">
        <v>26</v>
      </c>
      <c r="T30" s="12" t="s">
        <v>27</v>
      </c>
      <c r="U30" s="12"/>
      <c r="V30" s="12"/>
      <c r="W30" s="12"/>
      <c r="X30" s="12"/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 t="s">
        <v>21</v>
      </c>
      <c r="F31" s="7" t="s">
        <v>22</v>
      </c>
      <c r="G31" s="8">
        <v>6.0</v>
      </c>
      <c r="H31" s="9">
        <v>18.0</v>
      </c>
      <c r="I31" s="10">
        <f t="shared" si="4"/>
        <v>20</v>
      </c>
      <c r="J31" s="25" t="s">
        <v>37</v>
      </c>
      <c r="P31" s="12" t="str">
        <f t="shared" si="3"/>
        <v>Audi Crossings QC</v>
      </c>
      <c r="Q31" s="12" t="s">
        <v>24</v>
      </c>
      <c r="R31" s="12" t="s">
        <v>25</v>
      </c>
      <c r="S31" s="12" t="s">
        <v>26</v>
      </c>
      <c r="T31" s="12" t="s">
        <v>27</v>
      </c>
      <c r="U31" s="12"/>
      <c r="V31" s="12"/>
      <c r="W31" s="12"/>
      <c r="X31" s="12"/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9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16"/>
      <c r="H33" s="14"/>
      <c r="I33" s="10" t="str">
        <f t="shared" si="4"/>
        <v/>
      </c>
      <c r="J33" s="19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21</v>
      </c>
      <c r="F34" s="7" t="s">
        <v>22</v>
      </c>
      <c r="G34" s="8">
        <v>8.0</v>
      </c>
      <c r="H34" s="9">
        <v>36.0</v>
      </c>
      <c r="I34" s="10">
        <f t="shared" si="4"/>
        <v>13.33333333</v>
      </c>
      <c r="J34" s="8" t="s">
        <v>38</v>
      </c>
      <c r="P34" s="12" t="str">
        <f t="shared" si="3"/>
        <v>Audi Crossings QC</v>
      </c>
      <c r="Q34" s="12" t="s">
        <v>24</v>
      </c>
      <c r="R34" s="12" t="s">
        <v>25</v>
      </c>
      <c r="S34" s="12" t="s">
        <v>26</v>
      </c>
      <c r="T34" s="12" t="s">
        <v>27</v>
      </c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21</v>
      </c>
      <c r="F35" s="7" t="s">
        <v>22</v>
      </c>
      <c r="G35" s="8">
        <v>6.0</v>
      </c>
      <c r="H35" s="9">
        <v>28.0</v>
      </c>
      <c r="I35" s="10">
        <f t="shared" si="4"/>
        <v>12.85714286</v>
      </c>
      <c r="J35" s="8" t="s">
        <v>38</v>
      </c>
      <c r="P35" s="12" t="str">
        <f t="shared" si="3"/>
        <v>Audi Crossings QC</v>
      </c>
      <c r="Q35" s="12" t="s">
        <v>24</v>
      </c>
      <c r="R35" s="12" t="s">
        <v>25</v>
      </c>
      <c r="S35" s="12" t="s">
        <v>26</v>
      </c>
      <c r="T35" s="12" t="s">
        <v>27</v>
      </c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 t="s">
        <v>21</v>
      </c>
      <c r="F36" s="7" t="s">
        <v>22</v>
      </c>
      <c r="G36" s="8">
        <v>6.0</v>
      </c>
      <c r="H36" s="9">
        <v>29.0</v>
      </c>
      <c r="I36" s="10">
        <f t="shared" si="4"/>
        <v>12.4137931</v>
      </c>
      <c r="J36" s="8" t="s">
        <v>39</v>
      </c>
      <c r="P36" s="12" t="str">
        <f t="shared" si="3"/>
        <v>Audi Crossings QC</v>
      </c>
      <c r="Q36" s="12" t="s">
        <v>24</v>
      </c>
      <c r="R36" s="12" t="s">
        <v>25</v>
      </c>
      <c r="S36" s="12" t="s">
        <v>26</v>
      </c>
      <c r="T36" s="12" t="s">
        <v>27</v>
      </c>
      <c r="U36" s="12"/>
      <c r="V36" s="12"/>
      <c r="W36" s="12"/>
      <c r="X36" s="12"/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9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9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9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 t="s">
        <v>21</v>
      </c>
      <c r="F40" s="7" t="s">
        <v>22</v>
      </c>
      <c r="G40" s="8">
        <v>8.0</v>
      </c>
      <c r="H40" s="9">
        <v>37.0</v>
      </c>
      <c r="I40" s="10">
        <f t="shared" si="4"/>
        <v>12.97297297</v>
      </c>
      <c r="J40" s="8" t="s">
        <v>40</v>
      </c>
      <c r="P40" s="12" t="str">
        <f t="shared" si="3"/>
        <v>Audi Crossings QC</v>
      </c>
      <c r="Q40" s="12" t="s">
        <v>24</v>
      </c>
      <c r="R40" s="12" t="s">
        <v>25</v>
      </c>
      <c r="S40" s="12" t="s">
        <v>26</v>
      </c>
      <c r="T40" s="12" t="s">
        <v>27</v>
      </c>
      <c r="U40" s="12"/>
      <c r="V40" s="12"/>
      <c r="W40" s="12"/>
      <c r="X40" s="12"/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21</v>
      </c>
      <c r="F41" s="7" t="s">
        <v>22</v>
      </c>
      <c r="G41" s="8">
        <v>6.0</v>
      </c>
      <c r="H41" s="9">
        <v>27.0</v>
      </c>
      <c r="I41" s="10">
        <f t="shared" si="4"/>
        <v>13.33333333</v>
      </c>
      <c r="J41" s="8" t="s">
        <v>40</v>
      </c>
      <c r="P41" s="12" t="str">
        <f t="shared" si="3"/>
        <v>Audi Crossings QC</v>
      </c>
      <c r="Q41" s="12" t="s">
        <v>24</v>
      </c>
      <c r="R41" s="12" t="s">
        <v>25</v>
      </c>
      <c r="S41" s="12" t="s">
        <v>26</v>
      </c>
      <c r="T41" s="12" t="s">
        <v>27</v>
      </c>
      <c r="U41" s="12"/>
      <c r="V41" s="12"/>
      <c r="W41" s="12"/>
      <c r="X41" s="12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/>
      <c r="F42" s="7"/>
      <c r="G42" s="16"/>
      <c r="H42" s="14"/>
      <c r="I42" s="10" t="str">
        <f t="shared" si="4"/>
        <v/>
      </c>
      <c r="J42" s="19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/>
      <c r="F43" s="7"/>
      <c r="G43" s="16"/>
      <c r="H43" s="14"/>
      <c r="I43" s="10" t="str">
        <f t="shared" si="4"/>
        <v/>
      </c>
      <c r="J43" s="19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 t="s">
        <v>21</v>
      </c>
      <c r="F44" s="7" t="s">
        <v>22</v>
      </c>
      <c r="G44" s="8">
        <v>6.0</v>
      </c>
      <c r="H44" s="9">
        <v>33.0</v>
      </c>
      <c r="I44" s="10">
        <f t="shared" si="4"/>
        <v>10.90909091</v>
      </c>
      <c r="J44" s="8" t="s">
        <v>40</v>
      </c>
      <c r="P44" s="12" t="str">
        <f t="shared" si="3"/>
        <v>Audi Crossings QC</v>
      </c>
      <c r="Q44" s="12" t="s">
        <v>24</v>
      </c>
      <c r="R44" s="12" t="s">
        <v>25</v>
      </c>
      <c r="S44" s="12" t="s">
        <v>26</v>
      </c>
      <c r="T44" s="12" t="s">
        <v>27</v>
      </c>
      <c r="U44" s="12"/>
      <c r="V44" s="12"/>
      <c r="W44" s="12"/>
      <c r="X44" s="12"/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9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9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16</v>
      </c>
      <c r="F47" s="7" t="s">
        <v>17</v>
      </c>
      <c r="G47" s="8">
        <v>8.0</v>
      </c>
      <c r="H47" s="9">
        <v>30.0</v>
      </c>
      <c r="I47" s="10">
        <f t="shared" si="4"/>
        <v>16</v>
      </c>
      <c r="J47" s="8" t="s">
        <v>41</v>
      </c>
      <c r="P47" s="12" t="str">
        <f t="shared" si="3"/>
        <v>TPfC Phase 3</v>
      </c>
      <c r="Q47" s="12" t="s">
        <v>18</v>
      </c>
      <c r="R47" s="12"/>
      <c r="S47" s="12"/>
      <c r="T47" s="18"/>
      <c r="U47" s="18"/>
      <c r="V47" s="18"/>
      <c r="W47" s="18"/>
      <c r="X47" s="18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16</v>
      </c>
      <c r="F48" s="7" t="s">
        <v>17</v>
      </c>
      <c r="G48" s="8">
        <v>8.0</v>
      </c>
      <c r="H48" s="9">
        <v>31.0</v>
      </c>
      <c r="I48" s="10">
        <f t="shared" si="4"/>
        <v>15.48387097</v>
      </c>
      <c r="J48" s="8" t="s">
        <v>41</v>
      </c>
      <c r="P48" s="12" t="str">
        <f t="shared" si="3"/>
        <v>TPfC Phase 3</v>
      </c>
      <c r="Q48" s="12" t="s">
        <v>18</v>
      </c>
      <c r="R48" s="12"/>
      <c r="S48" s="12"/>
      <c r="T48" s="18"/>
      <c r="U48" s="18"/>
      <c r="V48" s="18"/>
      <c r="W48" s="18"/>
      <c r="X48" s="18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16</v>
      </c>
      <c r="F49" s="7" t="s">
        <v>17</v>
      </c>
      <c r="G49" s="8">
        <v>4.0</v>
      </c>
      <c r="H49" s="9">
        <v>18.0</v>
      </c>
      <c r="I49" s="10">
        <f t="shared" si="4"/>
        <v>13.33333333</v>
      </c>
      <c r="J49" s="8" t="s">
        <v>41</v>
      </c>
      <c r="P49" s="12" t="str">
        <f t="shared" si="3"/>
        <v>TPfC Phase 3</v>
      </c>
      <c r="Q49" s="12" t="s">
        <v>18</v>
      </c>
      <c r="R49" s="12"/>
      <c r="S49" s="12"/>
      <c r="T49" s="18"/>
      <c r="U49" s="18"/>
      <c r="V49" s="18"/>
      <c r="W49" s="18"/>
      <c r="X49" s="18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9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9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9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9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16</v>
      </c>
      <c r="F54" s="7" t="s">
        <v>17</v>
      </c>
      <c r="G54" s="8">
        <v>8.0</v>
      </c>
      <c r="H54" s="9">
        <v>31.0</v>
      </c>
      <c r="I54" s="10">
        <f t="shared" si="4"/>
        <v>15.48387097</v>
      </c>
      <c r="J54" s="8" t="s">
        <v>41</v>
      </c>
      <c r="P54" s="12" t="str">
        <f t="shared" si="3"/>
        <v>TPfC Phase 3</v>
      </c>
      <c r="Q54" s="12" t="s">
        <v>18</v>
      </c>
      <c r="R54" s="12"/>
      <c r="S54" s="12"/>
      <c r="T54" s="18"/>
      <c r="U54" s="18"/>
      <c r="V54" s="18"/>
      <c r="W54" s="18"/>
      <c r="X54" s="18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 t="s">
        <v>16</v>
      </c>
      <c r="F55" s="7" t="s">
        <v>17</v>
      </c>
      <c r="G55" s="8">
        <v>8.0</v>
      </c>
      <c r="H55" s="9">
        <v>32.0</v>
      </c>
      <c r="I55" s="10">
        <f t="shared" si="4"/>
        <v>15</v>
      </c>
      <c r="J55" s="8" t="s">
        <v>41</v>
      </c>
      <c r="P55" s="12" t="str">
        <f t="shared" si="3"/>
        <v>TPfC Phase 3</v>
      </c>
      <c r="Q55" s="12" t="s">
        <v>18</v>
      </c>
      <c r="R55" s="12"/>
      <c r="S55" s="12"/>
      <c r="T55" s="18"/>
      <c r="U55" s="18"/>
      <c r="V55" s="18"/>
      <c r="W55" s="18"/>
      <c r="X55" s="18"/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9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9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9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9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9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9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9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9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9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9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9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9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9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9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9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9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9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9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9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9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9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9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9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9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9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9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9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9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9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9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9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9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9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9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9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9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9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9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9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9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9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9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9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9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9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9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9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9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9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9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9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9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9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9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9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9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9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9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9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9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9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9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9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9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9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9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9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9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9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9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9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9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9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9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9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9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9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9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9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9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9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9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9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9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9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9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9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9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9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9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9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9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9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9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9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9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9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9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9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9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9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9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9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9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9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9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9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9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9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9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9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9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9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9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9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9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9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9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9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9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9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9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9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9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9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9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9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9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9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9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9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9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9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9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9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9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9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9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9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9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9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9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9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9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9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9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9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9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9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9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9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9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9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9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9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9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9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9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9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9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9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9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9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9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9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9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9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9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9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9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9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9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9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9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9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9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9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9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9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9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9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9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9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9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9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9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9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9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9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9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9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5.7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3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4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4" t="str">
        <f t="shared" ref="I3:I11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4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4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16</v>
      </c>
      <c r="F6" s="7" t="s">
        <v>17</v>
      </c>
      <c r="G6" s="8">
        <v>8.0</v>
      </c>
      <c r="H6" s="9"/>
      <c r="I6" s="14" t="str">
        <f t="shared" si="4"/>
        <v/>
      </c>
      <c r="J6" s="11"/>
      <c r="P6" s="12" t="str">
        <f t="shared" si="3"/>
        <v>TPfC Phase 3</v>
      </c>
      <c r="Q6" s="12" t="s">
        <v>18</v>
      </c>
      <c r="R6" s="12"/>
      <c r="S6" s="12"/>
      <c r="T6" s="18"/>
      <c r="U6" s="18"/>
      <c r="V6" s="18"/>
      <c r="W6" s="18"/>
      <c r="X6" s="18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4" t="str">
        <f t="shared" si="4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4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4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4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4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4"/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16</v>
      </c>
      <c r="F13" s="7" t="s">
        <v>17</v>
      </c>
      <c r="G13" s="8">
        <v>8.0</v>
      </c>
      <c r="H13" s="9"/>
      <c r="I13" s="14"/>
      <c r="J13" s="11"/>
      <c r="P13" s="12" t="str">
        <f t="shared" si="3"/>
        <v>TPfC Phase 3</v>
      </c>
      <c r="Q13" s="12" t="s">
        <v>18</v>
      </c>
      <c r="R13" s="12"/>
      <c r="S13" s="12"/>
      <c r="T13" s="18"/>
      <c r="U13" s="18"/>
      <c r="V13" s="18"/>
      <c r="W13" s="18"/>
      <c r="X13" s="18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16</v>
      </c>
      <c r="F14" s="7" t="s">
        <v>17</v>
      </c>
      <c r="G14" s="8">
        <v>8.0</v>
      </c>
      <c r="H14" s="9"/>
      <c r="I14" s="14"/>
      <c r="J14" s="11"/>
      <c r="P14" s="12" t="str">
        <f t="shared" si="3"/>
        <v>TPfC Phase 3</v>
      </c>
      <c r="Q14" s="12" t="s">
        <v>18</v>
      </c>
      <c r="R14" s="12"/>
      <c r="S14" s="12"/>
      <c r="T14" s="18"/>
      <c r="U14" s="18"/>
      <c r="V14" s="18"/>
      <c r="W14" s="18"/>
      <c r="X14" s="18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 t="s">
        <v>21</v>
      </c>
      <c r="F15" s="7" t="s">
        <v>27</v>
      </c>
      <c r="G15" s="8">
        <v>4.0</v>
      </c>
      <c r="H15" s="14"/>
      <c r="I15" s="14" t="str">
        <f t="shared" ref="I15:I21" si="5">IFERROR((G15/H15)*60, "")</f>
        <v/>
      </c>
      <c r="J15" s="15" t="s">
        <v>42</v>
      </c>
      <c r="P15" s="12" t="str">
        <f t="shared" si="3"/>
        <v>Audi Crossings QC</v>
      </c>
      <c r="Q15" s="12" t="s">
        <v>24</v>
      </c>
      <c r="R15" s="12" t="s">
        <v>25</v>
      </c>
      <c r="S15" s="12" t="s">
        <v>26</v>
      </c>
      <c r="T15" s="12" t="s">
        <v>27</v>
      </c>
      <c r="U15" s="12"/>
      <c r="V15" s="12"/>
      <c r="W15" s="12"/>
      <c r="X15" s="12"/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4" t="str">
        <f t="shared" si="5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4" t="str">
        <f t="shared" si="5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4" t="str">
        <f t="shared" si="5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4" t="str">
        <f t="shared" si="5"/>
        <v/>
      </c>
      <c r="J19" s="15" t="s">
        <v>43</v>
      </c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4" t="str">
        <f t="shared" si="5"/>
        <v/>
      </c>
      <c r="J20" s="15" t="s">
        <v>43</v>
      </c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/>
      <c r="F21" s="7"/>
      <c r="G21" s="16"/>
      <c r="H21" s="14"/>
      <c r="I21" s="14" t="str">
        <f t="shared" si="5"/>
        <v/>
      </c>
      <c r="J21" s="15" t="s">
        <v>43</v>
      </c>
      <c r="P21" s="12" t="str">
        <f t="shared" si="3"/>
        <v/>
      </c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4" t="str">
        <f>IFERROR((G22/#REF!)*60, "")</f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 t="s">
        <v>16</v>
      </c>
      <c r="F23" s="7" t="s">
        <v>17</v>
      </c>
      <c r="G23" s="8">
        <v>8.0</v>
      </c>
      <c r="H23" s="26">
        <v>11.0</v>
      </c>
      <c r="I23" s="14">
        <f t="shared" ref="I23:I246" si="6">IFERROR((G23/H23)*60, "")</f>
        <v>43.63636364</v>
      </c>
      <c r="J23" s="11"/>
      <c r="P23" s="12" t="str">
        <f t="shared" si="3"/>
        <v>TPfC Phase 3</v>
      </c>
      <c r="Q23" s="12" t="s">
        <v>18</v>
      </c>
      <c r="R23" s="12"/>
      <c r="S23" s="12"/>
      <c r="T23" s="18"/>
      <c r="U23" s="18"/>
      <c r="V23" s="18"/>
      <c r="W23" s="18"/>
      <c r="X23" s="18"/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4" t="str">
        <f t="shared" si="6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4" t="str">
        <f t="shared" si="6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4" t="str">
        <f t="shared" si="6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16</v>
      </c>
      <c r="F27" s="7" t="s">
        <v>17</v>
      </c>
      <c r="G27" s="8">
        <v>8.0</v>
      </c>
      <c r="H27" s="9">
        <v>11.0</v>
      </c>
      <c r="I27" s="14">
        <f t="shared" si="6"/>
        <v>43.63636364</v>
      </c>
      <c r="J27" s="11"/>
      <c r="P27" s="12" t="str">
        <f t="shared" si="3"/>
        <v>TPfC Phase 3</v>
      </c>
      <c r="Q27" s="12" t="s">
        <v>18</v>
      </c>
      <c r="R27" s="12"/>
      <c r="S27" s="12"/>
      <c r="T27" s="18"/>
      <c r="U27" s="18"/>
      <c r="V27" s="18"/>
      <c r="W27" s="18"/>
      <c r="X27" s="18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16</v>
      </c>
      <c r="F28" s="7" t="s">
        <v>17</v>
      </c>
      <c r="G28" s="8">
        <v>6.0</v>
      </c>
      <c r="H28" s="9">
        <v>8.0</v>
      </c>
      <c r="I28" s="14">
        <f t="shared" si="6"/>
        <v>45</v>
      </c>
      <c r="J28" s="11"/>
      <c r="P28" s="12" t="str">
        <f t="shared" si="3"/>
        <v>TPfC Phase 3</v>
      </c>
      <c r="Q28" s="12" t="s">
        <v>18</v>
      </c>
      <c r="R28" s="12"/>
      <c r="S28" s="12"/>
      <c r="T28" s="18"/>
      <c r="U28" s="18"/>
      <c r="V28" s="18"/>
      <c r="W28" s="18"/>
      <c r="X28" s="18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16</v>
      </c>
      <c r="F29" s="7" t="s">
        <v>17</v>
      </c>
      <c r="G29" s="8">
        <v>6.0</v>
      </c>
      <c r="H29" s="9">
        <v>8.0</v>
      </c>
      <c r="I29" s="14">
        <f t="shared" si="6"/>
        <v>45</v>
      </c>
      <c r="J29" s="11"/>
      <c r="P29" s="12" t="str">
        <f t="shared" si="3"/>
        <v>TPfC Phase 3</v>
      </c>
      <c r="Q29" s="12" t="s">
        <v>18</v>
      </c>
      <c r="R29" s="12"/>
      <c r="S29" s="12"/>
      <c r="T29" s="18"/>
      <c r="U29" s="18"/>
      <c r="V29" s="18"/>
      <c r="W29" s="18"/>
      <c r="X29" s="18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4" t="str">
        <f t="shared" si="6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4" t="str">
        <f t="shared" si="6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4" t="str">
        <f t="shared" si="6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16</v>
      </c>
      <c r="F33" s="7" t="s">
        <v>17</v>
      </c>
      <c r="G33" s="8">
        <v>8.0</v>
      </c>
      <c r="H33" s="9">
        <v>35.0</v>
      </c>
      <c r="I33" s="14">
        <f t="shared" si="6"/>
        <v>13.71428571</v>
      </c>
      <c r="J33" s="11"/>
      <c r="P33" s="12" t="str">
        <f t="shared" si="3"/>
        <v>TPfC Phase 3</v>
      </c>
      <c r="Q33" s="12" t="s">
        <v>18</v>
      </c>
      <c r="R33" s="12"/>
      <c r="S33" s="12"/>
      <c r="T33" s="18"/>
      <c r="U33" s="18"/>
      <c r="V33" s="18"/>
      <c r="W33" s="18"/>
      <c r="X33" s="18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16</v>
      </c>
      <c r="F34" s="7" t="s">
        <v>17</v>
      </c>
      <c r="G34" s="8">
        <v>4.0</v>
      </c>
      <c r="H34" s="9">
        <v>30.0</v>
      </c>
      <c r="I34" s="14">
        <f t="shared" si="6"/>
        <v>8</v>
      </c>
      <c r="J34" s="11"/>
      <c r="P34" s="12" t="str">
        <f t="shared" si="3"/>
        <v>TPfC Phase 3</v>
      </c>
      <c r="Q34" s="12" t="s">
        <v>18</v>
      </c>
      <c r="R34" s="12"/>
      <c r="S34" s="12"/>
      <c r="T34" s="18"/>
      <c r="U34" s="18"/>
      <c r="V34" s="18"/>
      <c r="W34" s="18"/>
      <c r="X34" s="18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16</v>
      </c>
      <c r="F35" s="7" t="s">
        <v>17</v>
      </c>
      <c r="G35" s="8">
        <v>8.0</v>
      </c>
      <c r="H35" s="9">
        <v>49.0</v>
      </c>
      <c r="I35" s="14">
        <f t="shared" si="6"/>
        <v>9.795918367</v>
      </c>
      <c r="J35" s="15"/>
      <c r="P35" s="12" t="str">
        <f t="shared" si="3"/>
        <v>TPfC Phase 3</v>
      </c>
      <c r="Q35" s="12" t="s">
        <v>18</v>
      </c>
      <c r="R35" s="12"/>
      <c r="S35" s="12"/>
      <c r="T35" s="18"/>
      <c r="U35" s="18"/>
      <c r="V35" s="18"/>
      <c r="W35" s="18"/>
      <c r="X35" s="18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4" t="str">
        <f t="shared" si="6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4" t="str">
        <f t="shared" si="6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4" t="str">
        <f t="shared" si="6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4" t="str">
        <f t="shared" si="6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4" t="str">
        <f t="shared" si="6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16</v>
      </c>
      <c r="F41" s="7" t="s">
        <v>17</v>
      </c>
      <c r="G41" s="8">
        <v>6.0</v>
      </c>
      <c r="H41" s="9">
        <v>15.0</v>
      </c>
      <c r="I41" s="14">
        <f t="shared" si="6"/>
        <v>24</v>
      </c>
      <c r="J41" s="11"/>
      <c r="P41" s="12" t="str">
        <f t="shared" si="3"/>
        <v>TPfC Phase 3</v>
      </c>
      <c r="Q41" s="12" t="s">
        <v>18</v>
      </c>
      <c r="R41" s="12"/>
      <c r="S41" s="12"/>
      <c r="T41" s="18"/>
      <c r="U41" s="18"/>
      <c r="V41" s="18"/>
      <c r="W41" s="18"/>
      <c r="X41" s="18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 t="s">
        <v>14</v>
      </c>
      <c r="G42" s="8">
        <v>8.0</v>
      </c>
      <c r="H42" s="9">
        <v>24.0</v>
      </c>
      <c r="I42" s="14">
        <f t="shared" si="6"/>
        <v>20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16</v>
      </c>
      <c r="F43" s="7" t="s">
        <v>17</v>
      </c>
      <c r="G43" s="8">
        <v>6.0</v>
      </c>
      <c r="H43" s="9">
        <v>10.0</v>
      </c>
      <c r="I43" s="14">
        <f t="shared" si="6"/>
        <v>36</v>
      </c>
      <c r="J43" s="11"/>
      <c r="P43" s="12" t="str">
        <f t="shared" si="3"/>
        <v>TPfC Phase 3</v>
      </c>
      <c r="Q43" s="12" t="s">
        <v>18</v>
      </c>
      <c r="R43" s="12"/>
      <c r="S43" s="12"/>
      <c r="T43" s="18"/>
      <c r="U43" s="18"/>
      <c r="V43" s="18"/>
      <c r="W43" s="18"/>
      <c r="X43" s="18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4" t="str">
        <f t="shared" si="6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4" t="str">
        <f t="shared" si="6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4" t="str">
        <f t="shared" si="6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11</v>
      </c>
      <c r="F47" s="7" t="s">
        <v>13</v>
      </c>
      <c r="G47" s="8">
        <v>6.0</v>
      </c>
      <c r="H47" s="9">
        <v>14.0</v>
      </c>
      <c r="I47" s="14">
        <f t="shared" si="6"/>
        <v>25.71428571</v>
      </c>
      <c r="J47" s="11"/>
      <c r="P47" s="12" t="str">
        <f t="shared" si="3"/>
        <v>Netherlands</v>
      </c>
      <c r="Q47" s="12" t="s">
        <v>12</v>
      </c>
      <c r="R47" s="12" t="s">
        <v>13</v>
      </c>
      <c r="S47" s="12" t="s">
        <v>14</v>
      </c>
      <c r="T47" s="12"/>
      <c r="U47" s="12"/>
      <c r="V47" s="12"/>
      <c r="W47" s="12"/>
      <c r="X47" s="12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11</v>
      </c>
      <c r="F48" s="7" t="s">
        <v>13</v>
      </c>
      <c r="G48" s="8">
        <v>6.0</v>
      </c>
      <c r="H48" s="9">
        <v>18.0</v>
      </c>
      <c r="I48" s="14">
        <f t="shared" si="6"/>
        <v>20</v>
      </c>
      <c r="J48" s="11"/>
      <c r="P48" s="12" t="str">
        <f t="shared" si="3"/>
        <v>Netherlands</v>
      </c>
      <c r="Q48" s="12" t="s">
        <v>12</v>
      </c>
      <c r="R48" s="12" t="s">
        <v>13</v>
      </c>
      <c r="S48" s="12" t="s">
        <v>14</v>
      </c>
      <c r="T48" s="12"/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8.0</v>
      </c>
      <c r="H49" s="9">
        <v>22.0</v>
      </c>
      <c r="I49" s="14">
        <f t="shared" si="6"/>
        <v>21.81818182</v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4" t="str">
        <f t="shared" si="6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4" t="str">
        <f t="shared" si="6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4" t="str">
        <f t="shared" si="6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4" t="str">
        <f t="shared" si="6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4" t="str">
        <f t="shared" si="6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4" t="str">
        <f t="shared" si="6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4" t="str">
        <f t="shared" si="6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4" t="str">
        <f t="shared" si="6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4" t="str">
        <f t="shared" si="6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4" t="str">
        <f t="shared" si="6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4" t="str">
        <f t="shared" si="6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4" t="str">
        <f t="shared" si="6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4" t="str">
        <f t="shared" si="6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4" t="str">
        <f t="shared" si="6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4" t="str">
        <f t="shared" si="6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4" t="str">
        <f t="shared" si="6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4" t="str">
        <f t="shared" si="6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4" t="str">
        <f t="shared" si="6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4" t="str">
        <f t="shared" si="6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4" t="str">
        <f t="shared" si="6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4" t="str">
        <f t="shared" si="6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4" t="str">
        <f t="shared" si="6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4" t="str">
        <f t="shared" si="6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4" t="str">
        <f t="shared" si="6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4" t="str">
        <f t="shared" si="6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4" t="str">
        <f t="shared" si="6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4" t="str">
        <f t="shared" si="6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4" t="str">
        <f t="shared" si="6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4" t="str">
        <f t="shared" si="6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4" t="str">
        <f t="shared" si="6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4" t="str">
        <f t="shared" si="6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4" t="str">
        <f t="shared" si="6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4" t="str">
        <f t="shared" si="6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4" t="str">
        <f t="shared" si="6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4" t="str">
        <f t="shared" si="6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4" t="str">
        <f t="shared" si="6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4" t="str">
        <f t="shared" si="6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4" t="str">
        <f t="shared" si="6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4" t="str">
        <f t="shared" si="6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4" t="str">
        <f t="shared" si="6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4" t="str">
        <f t="shared" si="6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4" t="str">
        <f t="shared" si="6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4" t="str">
        <f t="shared" si="6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4" t="str">
        <f t="shared" si="6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4" t="str">
        <f t="shared" si="6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4" t="str">
        <f t="shared" si="6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4" t="str">
        <f t="shared" si="6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4" t="str">
        <f t="shared" si="6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4" t="str">
        <f t="shared" si="6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4" t="str">
        <f t="shared" si="6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4" t="str">
        <f t="shared" si="6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4" t="str">
        <f t="shared" si="6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4" t="str">
        <f t="shared" si="6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4" t="str">
        <f t="shared" si="6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4" t="str">
        <f t="shared" si="6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4" t="str">
        <f t="shared" si="6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4" t="str">
        <f t="shared" si="6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4" t="str">
        <f t="shared" si="6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4" t="str">
        <f t="shared" si="6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4" t="str">
        <f t="shared" si="6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4" t="str">
        <f t="shared" si="6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4" t="str">
        <f t="shared" si="6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4" t="str">
        <f t="shared" si="6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4" t="str">
        <f t="shared" si="6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4" t="str">
        <f t="shared" si="6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4" t="str">
        <f t="shared" si="6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4" t="str">
        <f t="shared" si="6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4" t="str">
        <f t="shared" si="6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4" t="str">
        <f t="shared" si="6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4" t="str">
        <f t="shared" si="6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4" t="str">
        <f t="shared" si="6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4" t="str">
        <f t="shared" si="6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4" t="str">
        <f t="shared" si="6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4" t="str">
        <f t="shared" si="6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4" t="str">
        <f t="shared" si="6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4" t="str">
        <f t="shared" si="6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4" t="str">
        <f t="shared" si="6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4" t="str">
        <f t="shared" si="6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4" t="str">
        <f t="shared" si="6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4" t="str">
        <f t="shared" si="6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4" t="str">
        <f t="shared" si="6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4" t="str">
        <f t="shared" si="6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4" t="str">
        <f t="shared" si="6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4" t="str">
        <f t="shared" si="6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4" t="str">
        <f t="shared" si="6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4" t="str">
        <f t="shared" si="6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4" t="str">
        <f t="shared" si="6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4" t="str">
        <f t="shared" si="6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4" t="str">
        <f t="shared" si="6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4" t="str">
        <f t="shared" si="6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4" t="str">
        <f t="shared" si="6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4" t="str">
        <f t="shared" si="6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4" t="str">
        <f t="shared" si="6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4" t="str">
        <f t="shared" si="6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4" t="str">
        <f t="shared" si="6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4" t="str">
        <f t="shared" si="6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4" t="str">
        <f t="shared" si="6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4" t="str">
        <f t="shared" si="6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4" t="str">
        <f t="shared" si="6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4" t="str">
        <f t="shared" si="6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4" t="str">
        <f t="shared" si="6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4" t="str">
        <f t="shared" si="6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4" t="str">
        <f t="shared" si="6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4" t="str">
        <f t="shared" si="6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4" t="str">
        <f t="shared" si="6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4" t="str">
        <f t="shared" si="6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4" t="str">
        <f t="shared" si="6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4" t="str">
        <f t="shared" si="6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4" t="str">
        <f t="shared" si="6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4" t="str">
        <f t="shared" si="6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4" t="str">
        <f t="shared" si="6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4" t="str">
        <f t="shared" si="6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4" t="str">
        <f t="shared" si="6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4" t="str">
        <f t="shared" si="6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4" t="str">
        <f t="shared" si="6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4" t="str">
        <f t="shared" si="6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4" t="str">
        <f t="shared" si="6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4" t="str">
        <f t="shared" si="6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4" t="str">
        <f t="shared" si="6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4" t="str">
        <f t="shared" si="6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4" t="str">
        <f t="shared" si="6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4" t="str">
        <f t="shared" si="6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4" t="str">
        <f t="shared" si="6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4" t="str">
        <f t="shared" si="6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4" t="str">
        <f t="shared" si="6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4" t="str">
        <f t="shared" si="6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4" t="str">
        <f t="shared" si="6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4" t="str">
        <f t="shared" si="6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4" t="str">
        <f t="shared" si="6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4" t="str">
        <f t="shared" si="6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4" t="str">
        <f t="shared" si="6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4" t="str">
        <f t="shared" si="6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4" t="str">
        <f t="shared" si="6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4" t="str">
        <f t="shared" si="6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4" t="str">
        <f t="shared" si="6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4" t="str">
        <f t="shared" si="6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4" t="str">
        <f t="shared" si="6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4" t="str">
        <f t="shared" si="6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4" t="str">
        <f t="shared" si="6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4" t="str">
        <f t="shared" si="6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4" t="str">
        <f t="shared" si="6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4" t="str">
        <f t="shared" si="6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4" t="str">
        <f t="shared" si="6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4" t="str">
        <f t="shared" si="6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4" t="str">
        <f t="shared" si="6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4" t="str">
        <f t="shared" si="6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4" t="str">
        <f t="shared" si="6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4" t="str">
        <f t="shared" si="6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4" t="str">
        <f t="shared" si="6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4" t="str">
        <f t="shared" si="6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4" t="str">
        <f t="shared" si="6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4" t="str">
        <f t="shared" si="6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4" t="str">
        <f t="shared" si="6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4" t="str">
        <f t="shared" si="6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4" t="str">
        <f t="shared" si="6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4" t="str">
        <f t="shared" si="6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4" t="str">
        <f t="shared" si="6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4" t="str">
        <f t="shared" si="6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4" t="str">
        <f t="shared" si="6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4" t="str">
        <f t="shared" si="6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4" t="str">
        <f t="shared" si="6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4" t="str">
        <f t="shared" si="6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4" t="str">
        <f t="shared" si="6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4" t="str">
        <f t="shared" si="6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4" t="str">
        <f t="shared" si="6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4" t="str">
        <f t="shared" si="6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4" t="str">
        <f t="shared" si="6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4" t="str">
        <f t="shared" si="6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4" t="str">
        <f t="shared" si="6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4" t="str">
        <f t="shared" si="6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4" t="str">
        <f t="shared" si="6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4" t="str">
        <f t="shared" si="6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4" t="str">
        <f t="shared" si="6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4" t="str">
        <f t="shared" si="6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4" t="str">
        <f t="shared" si="6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4" t="str">
        <f t="shared" si="6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4" t="str">
        <f t="shared" si="6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4" t="str">
        <f t="shared" si="6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4" t="str">
        <f t="shared" si="6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4" t="str">
        <f t="shared" si="6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4" t="str">
        <f t="shared" si="6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4" t="str">
        <f t="shared" si="6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4" t="str">
        <f t="shared" si="6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4" t="str">
        <f t="shared" si="6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4" t="str">
        <f t="shared" si="6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4" t="str">
        <f t="shared" si="6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4" t="str">
        <f t="shared" si="6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4" t="str">
        <f t="shared" si="6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4" t="str">
        <f t="shared" si="6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4" t="str">
        <f t="shared" si="6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4" t="str">
        <f t="shared" si="6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4" t="str">
        <f t="shared" si="6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4" t="str">
        <f t="shared" si="6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4" t="str">
        <f t="shared" si="6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4" t="str">
        <f t="shared" si="6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4" t="str">
        <f t="shared" si="6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4" t="str">
        <f t="shared" si="6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I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si="4"/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4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4"/>
        <v/>
      </c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/>
      <c r="F13" s="7"/>
      <c r="G13" s="16"/>
      <c r="H13" s="14"/>
      <c r="I13" s="10" t="str">
        <f t="shared" si="4"/>
        <v/>
      </c>
      <c r="J13" s="11"/>
      <c r="P13" s="12" t="str">
        <f t="shared" si="3"/>
        <v/>
      </c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/>
      <c r="F14" s="7"/>
      <c r="G14" s="16"/>
      <c r="H14" s="14"/>
      <c r="I14" s="10" t="str">
        <f t="shared" si="4"/>
        <v/>
      </c>
      <c r="J14" s="11"/>
      <c r="P14" s="12" t="str">
        <f t="shared" si="3"/>
        <v/>
      </c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0" t="str">
        <f t="shared" si="4"/>
        <v/>
      </c>
      <c r="J20" s="11"/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/>
      <c r="F21" s="7"/>
      <c r="G21" s="16"/>
      <c r="H21" s="14"/>
      <c r="I21" s="10" t="str">
        <f t="shared" si="4"/>
        <v/>
      </c>
      <c r="J21" s="11"/>
      <c r="P21" s="12" t="str">
        <f t="shared" si="3"/>
        <v/>
      </c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/>
      <c r="F27" s="7"/>
      <c r="G27" s="16"/>
      <c r="H27" s="14"/>
      <c r="I27" s="10" t="str">
        <f t="shared" si="4"/>
        <v/>
      </c>
      <c r="J27" s="11"/>
      <c r="P27" s="12" t="str">
        <f t="shared" si="3"/>
        <v/>
      </c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16"/>
      <c r="H28" s="14"/>
      <c r="I28" s="10" t="str">
        <f t="shared" si="4"/>
        <v/>
      </c>
      <c r="J28" s="11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/>
      <c r="F29" s="7"/>
      <c r="G29" s="16"/>
      <c r="H29" s="14"/>
      <c r="I29" s="10" t="str">
        <f t="shared" si="4"/>
        <v/>
      </c>
      <c r="J29" s="11"/>
      <c r="P29" s="12" t="str">
        <f t="shared" si="3"/>
        <v/>
      </c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16"/>
      <c r="H33" s="14"/>
      <c r="I33" s="10" t="str">
        <f t="shared" si="4"/>
        <v/>
      </c>
      <c r="J33" s="11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/>
      <c r="F34" s="7"/>
      <c r="G34" s="16"/>
      <c r="H34" s="14"/>
      <c r="I34" s="10" t="str">
        <f t="shared" si="4"/>
        <v/>
      </c>
      <c r="J34" s="11"/>
      <c r="P34" s="12" t="str">
        <f t="shared" si="3"/>
        <v/>
      </c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/>
      <c r="F35" s="7"/>
      <c r="G35" s="16"/>
      <c r="H35" s="14"/>
      <c r="I35" s="10" t="str">
        <f t="shared" si="4"/>
        <v/>
      </c>
      <c r="J35" s="11"/>
      <c r="P35" s="12" t="str">
        <f t="shared" si="3"/>
        <v/>
      </c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/>
      <c r="F41" s="7"/>
      <c r="G41" s="16"/>
      <c r="H41" s="14"/>
      <c r="I41" s="10" t="str">
        <f t="shared" si="4"/>
        <v/>
      </c>
      <c r="J41" s="11"/>
      <c r="P41" s="12" t="str">
        <f t="shared" si="3"/>
        <v/>
      </c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/>
      <c r="F42" s="7"/>
      <c r="G42" s="16"/>
      <c r="H42" s="14"/>
      <c r="I42" s="10" t="str">
        <f t="shared" si="4"/>
        <v/>
      </c>
      <c r="J42" s="11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11</v>
      </c>
      <c r="F43" s="7" t="s">
        <v>12</v>
      </c>
      <c r="G43" s="8">
        <v>5.0</v>
      </c>
      <c r="H43" s="9">
        <v>19.0</v>
      </c>
      <c r="I43" s="10">
        <f t="shared" si="4"/>
        <v>15.78947368</v>
      </c>
      <c r="J43" s="11"/>
      <c r="P43" s="12" t="str">
        <f t="shared" si="3"/>
        <v>Netherlands</v>
      </c>
      <c r="Q43" s="12" t="s">
        <v>12</v>
      </c>
      <c r="R43" s="12" t="s">
        <v>13</v>
      </c>
      <c r="S43" s="12" t="s">
        <v>14</v>
      </c>
      <c r="T43" s="12"/>
      <c r="U43" s="12"/>
      <c r="V43" s="12"/>
      <c r="W43" s="12"/>
      <c r="X43" s="12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 t="s">
        <v>11</v>
      </c>
      <c r="F45" s="7" t="s">
        <v>12</v>
      </c>
      <c r="G45" s="8">
        <v>7.0</v>
      </c>
      <c r="H45" s="9">
        <v>33.0</v>
      </c>
      <c r="I45" s="10">
        <f t="shared" si="4"/>
        <v>12.72727273</v>
      </c>
      <c r="J45" s="11"/>
      <c r="P45" s="12" t="str">
        <f t="shared" si="3"/>
        <v>Netherlands</v>
      </c>
      <c r="Q45" s="12" t="s">
        <v>12</v>
      </c>
      <c r="R45" s="12" t="s">
        <v>13</v>
      </c>
      <c r="S45" s="12" t="s">
        <v>14</v>
      </c>
      <c r="T45" s="12"/>
      <c r="U45" s="12"/>
      <c r="V45" s="12"/>
      <c r="W45" s="12"/>
      <c r="X45" s="12"/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 t="s">
        <v>11</v>
      </c>
      <c r="F46" s="7" t="s">
        <v>12</v>
      </c>
      <c r="G46" s="8">
        <v>8.0</v>
      </c>
      <c r="H46" s="9">
        <v>36.0</v>
      </c>
      <c r="I46" s="10">
        <f t="shared" si="4"/>
        <v>13.33333333</v>
      </c>
      <c r="J46" s="11"/>
      <c r="P46" s="12" t="str">
        <f t="shared" si="3"/>
        <v>Netherlands</v>
      </c>
      <c r="Q46" s="12" t="s">
        <v>12</v>
      </c>
      <c r="R46" s="12" t="s">
        <v>13</v>
      </c>
      <c r="S46" s="12" t="s">
        <v>14</v>
      </c>
      <c r="T46" s="12"/>
      <c r="U46" s="12"/>
      <c r="V46" s="12"/>
      <c r="W46" s="12"/>
      <c r="X46" s="12"/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/>
      <c r="F47" s="7"/>
      <c r="G47" s="16"/>
      <c r="H47" s="14"/>
      <c r="I47" s="10" t="str">
        <f t="shared" si="4"/>
        <v/>
      </c>
      <c r="J47" s="11"/>
      <c r="P47" s="12" t="str">
        <f t="shared" si="3"/>
        <v/>
      </c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11</v>
      </c>
      <c r="F48" s="7" t="s">
        <v>12</v>
      </c>
      <c r="G48" s="8">
        <v>6.0</v>
      </c>
      <c r="H48" s="9">
        <v>26.0</v>
      </c>
      <c r="I48" s="10">
        <f t="shared" si="4"/>
        <v>13.84615385</v>
      </c>
      <c r="J48" s="11"/>
      <c r="P48" s="12" t="str">
        <f t="shared" si="3"/>
        <v>Netherlands</v>
      </c>
      <c r="Q48" s="12" t="s">
        <v>12</v>
      </c>
      <c r="R48" s="12" t="s">
        <v>13</v>
      </c>
      <c r="S48" s="12" t="s">
        <v>14</v>
      </c>
      <c r="T48" s="12"/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7.0</v>
      </c>
      <c r="H49" s="9">
        <v>37.0</v>
      </c>
      <c r="I49" s="10">
        <f t="shared" si="4"/>
        <v>11.35135135</v>
      </c>
      <c r="J49" s="15" t="s">
        <v>44</v>
      </c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 t="s">
        <v>11</v>
      </c>
      <c r="F51" s="7" t="s">
        <v>13</v>
      </c>
      <c r="G51" s="8">
        <v>7.0</v>
      </c>
      <c r="H51" s="9">
        <v>46.0</v>
      </c>
      <c r="I51" s="10">
        <f t="shared" si="4"/>
        <v>9.130434783</v>
      </c>
      <c r="J51" s="11"/>
      <c r="P51" s="12" t="str">
        <f t="shared" si="3"/>
        <v>Netherlands</v>
      </c>
      <c r="Q51" s="12" t="s">
        <v>12</v>
      </c>
      <c r="R51" s="12" t="s">
        <v>13</v>
      </c>
      <c r="S51" s="12" t="s">
        <v>14</v>
      </c>
      <c r="T51" s="12"/>
      <c r="U51" s="12"/>
      <c r="V51" s="12"/>
      <c r="W51" s="12"/>
      <c r="X51" s="12"/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16</v>
      </c>
      <c r="F5" s="7" t="s">
        <v>17</v>
      </c>
      <c r="G5" s="8">
        <v>8.0</v>
      </c>
      <c r="H5" s="9">
        <v>12.0</v>
      </c>
      <c r="I5" s="10">
        <f t="shared" si="4"/>
        <v>40</v>
      </c>
      <c r="J5" s="11"/>
      <c r="P5" s="12" t="str">
        <f t="shared" si="3"/>
        <v>TPfC Phase 3</v>
      </c>
      <c r="Q5" s="12" t="s">
        <v>18</v>
      </c>
      <c r="R5" s="12"/>
      <c r="S5" s="12"/>
      <c r="T5" s="18"/>
      <c r="U5" s="18"/>
      <c r="V5" s="18"/>
      <c r="W5" s="18"/>
      <c r="X5" s="18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16</v>
      </c>
      <c r="F6" s="7" t="s">
        <v>17</v>
      </c>
      <c r="G6" s="8">
        <v>8.0</v>
      </c>
      <c r="H6" s="9">
        <v>11.0</v>
      </c>
      <c r="I6" s="10">
        <f t="shared" si="4"/>
        <v>43.63636364</v>
      </c>
      <c r="J6" s="11"/>
      <c r="P6" s="12" t="str">
        <f t="shared" si="3"/>
        <v>TPfC Phase 3</v>
      </c>
      <c r="Q6" s="12" t="s">
        <v>18</v>
      </c>
      <c r="R6" s="12"/>
      <c r="S6" s="12"/>
      <c r="T6" s="18"/>
      <c r="U6" s="18"/>
      <c r="V6" s="18"/>
      <c r="W6" s="18"/>
      <c r="X6" s="18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16</v>
      </c>
      <c r="F7" s="7" t="s">
        <v>17</v>
      </c>
      <c r="G7" s="8">
        <v>4.0</v>
      </c>
      <c r="H7" s="9">
        <v>5.0</v>
      </c>
      <c r="I7" s="10">
        <f t="shared" si="4"/>
        <v>48</v>
      </c>
      <c r="J7" s="11"/>
      <c r="P7" s="12" t="str">
        <f t="shared" si="3"/>
        <v>TPfC Phase 3</v>
      </c>
      <c r="Q7" s="12" t="s">
        <v>18</v>
      </c>
      <c r="R7" s="12"/>
      <c r="S7" s="12"/>
      <c r="T7" s="18"/>
      <c r="U7" s="18"/>
      <c r="V7" s="18"/>
      <c r="W7" s="18"/>
      <c r="X7" s="18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16</v>
      </c>
      <c r="F12" s="7" t="s">
        <v>17</v>
      </c>
      <c r="G12" s="8">
        <v>8.0</v>
      </c>
      <c r="H12" s="9">
        <v>19.0</v>
      </c>
      <c r="I12" s="10">
        <f t="shared" si="4"/>
        <v>25.26315789</v>
      </c>
      <c r="J12" s="11"/>
      <c r="P12" s="12" t="str">
        <f t="shared" si="3"/>
        <v>TPfC Phase 3</v>
      </c>
      <c r="Q12" s="12" t="s">
        <v>18</v>
      </c>
      <c r="R12" s="12"/>
      <c r="S12" s="12"/>
      <c r="T12" s="18"/>
      <c r="U12" s="18"/>
      <c r="V12" s="18"/>
      <c r="W12" s="18"/>
      <c r="X12" s="18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16</v>
      </c>
      <c r="F13" s="7" t="s">
        <v>17</v>
      </c>
      <c r="G13" s="8">
        <v>8.0</v>
      </c>
      <c r="H13" s="9">
        <v>19.0</v>
      </c>
      <c r="I13" s="10">
        <f t="shared" si="4"/>
        <v>25.26315789</v>
      </c>
      <c r="J13" s="11"/>
      <c r="P13" s="12" t="str">
        <f t="shared" si="3"/>
        <v>TPfC Phase 3</v>
      </c>
      <c r="Q13" s="12" t="s">
        <v>18</v>
      </c>
      <c r="R13" s="12"/>
      <c r="S13" s="12"/>
      <c r="T13" s="18"/>
      <c r="U13" s="18"/>
      <c r="V13" s="18"/>
      <c r="W13" s="18"/>
      <c r="X13" s="18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16</v>
      </c>
      <c r="F14" s="7" t="s">
        <v>17</v>
      </c>
      <c r="G14" s="8">
        <v>4.0</v>
      </c>
      <c r="H14" s="9">
        <v>8.0</v>
      </c>
      <c r="I14" s="10">
        <f t="shared" si="4"/>
        <v>30</v>
      </c>
      <c r="J14" s="11"/>
      <c r="P14" s="12" t="str">
        <f t="shared" si="3"/>
        <v>TPfC Phase 3</v>
      </c>
      <c r="Q14" s="12" t="s">
        <v>18</v>
      </c>
      <c r="R14" s="12"/>
      <c r="S14" s="12"/>
      <c r="T14" s="18"/>
      <c r="U14" s="18"/>
      <c r="V14" s="18"/>
      <c r="W14" s="18"/>
      <c r="X14" s="18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16</v>
      </c>
      <c r="F19" s="7" t="s">
        <v>17</v>
      </c>
      <c r="G19" s="8">
        <v>8.0</v>
      </c>
      <c r="H19" s="9">
        <v>13.0</v>
      </c>
      <c r="I19" s="10">
        <f t="shared" si="4"/>
        <v>36.92307692</v>
      </c>
      <c r="J19" s="11"/>
      <c r="P19" s="12" t="str">
        <f t="shared" si="3"/>
        <v>TPfC Phase 3</v>
      </c>
      <c r="Q19" s="12" t="s">
        <v>18</v>
      </c>
      <c r="R19" s="12"/>
      <c r="S19" s="12"/>
      <c r="T19" s="18"/>
      <c r="U19" s="18"/>
      <c r="V19" s="18"/>
      <c r="W19" s="18"/>
      <c r="X19" s="18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16</v>
      </c>
      <c r="F20" s="7" t="s">
        <v>17</v>
      </c>
      <c r="G20" s="8">
        <v>8.0</v>
      </c>
      <c r="H20" s="9">
        <v>13.0</v>
      </c>
      <c r="I20" s="10">
        <f t="shared" si="4"/>
        <v>36.92307692</v>
      </c>
      <c r="J20" s="11"/>
      <c r="P20" s="12" t="str">
        <f t="shared" si="3"/>
        <v>TPfC Phase 3</v>
      </c>
      <c r="Q20" s="12" t="s">
        <v>18</v>
      </c>
      <c r="R20" s="12"/>
      <c r="S20" s="12"/>
      <c r="T20" s="18"/>
      <c r="U20" s="18"/>
      <c r="V20" s="18"/>
      <c r="W20" s="18"/>
      <c r="X20" s="18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16</v>
      </c>
      <c r="F21" s="7" t="s">
        <v>17</v>
      </c>
      <c r="G21" s="8">
        <v>4.0</v>
      </c>
      <c r="H21" s="9">
        <v>6.0</v>
      </c>
      <c r="I21" s="10">
        <f t="shared" si="4"/>
        <v>40</v>
      </c>
      <c r="J21" s="11"/>
      <c r="P21" s="12" t="str">
        <f t="shared" si="3"/>
        <v>TPfC Phase 3</v>
      </c>
      <c r="Q21" s="12" t="s">
        <v>18</v>
      </c>
      <c r="R21" s="12"/>
      <c r="S21" s="12"/>
      <c r="T21" s="18"/>
      <c r="U21" s="18"/>
      <c r="V21" s="18"/>
      <c r="W21" s="18"/>
      <c r="X21" s="18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 t="s">
        <v>16</v>
      </c>
      <c r="F26" s="7" t="s">
        <v>17</v>
      </c>
      <c r="G26" s="8">
        <v>4.0</v>
      </c>
      <c r="H26" s="9">
        <v>12.0</v>
      </c>
      <c r="I26" s="10">
        <f t="shared" si="4"/>
        <v>20</v>
      </c>
      <c r="J26" s="11"/>
      <c r="P26" s="12" t="str">
        <f t="shared" si="3"/>
        <v>TPfC Phase 3</v>
      </c>
      <c r="Q26" s="12" t="s">
        <v>18</v>
      </c>
      <c r="R26" s="12"/>
      <c r="S26" s="12"/>
      <c r="T26" s="18"/>
      <c r="U26" s="18"/>
      <c r="V26" s="18"/>
      <c r="W26" s="18"/>
      <c r="X26" s="18"/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16</v>
      </c>
      <c r="F27" s="7" t="s">
        <v>17</v>
      </c>
      <c r="G27" s="8">
        <v>7.0</v>
      </c>
      <c r="H27" s="9">
        <v>20.0</v>
      </c>
      <c r="I27" s="10">
        <f t="shared" si="4"/>
        <v>21</v>
      </c>
      <c r="J27" s="11"/>
      <c r="P27" s="12" t="str">
        <f t="shared" si="3"/>
        <v>TPfC Phase 3</v>
      </c>
      <c r="Q27" s="12" t="s">
        <v>18</v>
      </c>
      <c r="R27" s="12"/>
      <c r="S27" s="12"/>
      <c r="T27" s="18"/>
      <c r="U27" s="18"/>
      <c r="V27" s="18"/>
      <c r="W27" s="18"/>
      <c r="X27" s="18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16</v>
      </c>
      <c r="F28" s="7" t="s">
        <v>17</v>
      </c>
      <c r="G28" s="8">
        <v>5.0</v>
      </c>
      <c r="H28" s="9">
        <v>13.0</v>
      </c>
      <c r="I28" s="10">
        <f t="shared" si="4"/>
        <v>23.07692308</v>
      </c>
      <c r="J28" s="11"/>
      <c r="P28" s="12" t="str">
        <f t="shared" si="3"/>
        <v>TPfC Phase 3</v>
      </c>
      <c r="Q28" s="12" t="s">
        <v>18</v>
      </c>
      <c r="R28" s="12"/>
      <c r="S28" s="12"/>
      <c r="T28" s="18"/>
      <c r="U28" s="18"/>
      <c r="V28" s="18"/>
      <c r="W28" s="18"/>
      <c r="X28" s="18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16</v>
      </c>
      <c r="F29" s="7" t="s">
        <v>17</v>
      </c>
      <c r="G29" s="8">
        <v>4.0</v>
      </c>
      <c r="H29" s="9">
        <v>11.0</v>
      </c>
      <c r="I29" s="10">
        <f t="shared" si="4"/>
        <v>21.81818182</v>
      </c>
      <c r="J29" s="11"/>
      <c r="P29" s="12" t="str">
        <f t="shared" si="3"/>
        <v>TPfC Phase 3</v>
      </c>
      <c r="Q29" s="12" t="s">
        <v>18</v>
      </c>
      <c r="R29" s="12"/>
      <c r="S29" s="12"/>
      <c r="T29" s="18"/>
      <c r="U29" s="18"/>
      <c r="V29" s="18"/>
      <c r="W29" s="18"/>
      <c r="X29" s="18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16</v>
      </c>
      <c r="F33" s="7" t="s">
        <v>17</v>
      </c>
      <c r="G33" s="8">
        <v>7.5</v>
      </c>
      <c r="H33" s="9">
        <v>57.0</v>
      </c>
      <c r="I33" s="10">
        <f t="shared" si="4"/>
        <v>7.894736842</v>
      </c>
      <c r="J33" s="11"/>
      <c r="P33" s="12" t="str">
        <f t="shared" si="3"/>
        <v>TPfC Phase 3</v>
      </c>
      <c r="Q33" s="12" t="s">
        <v>18</v>
      </c>
      <c r="R33" s="12"/>
      <c r="S33" s="12"/>
      <c r="T33" s="18"/>
      <c r="U33" s="18"/>
      <c r="V33" s="18"/>
      <c r="W33" s="18"/>
      <c r="X33" s="18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16</v>
      </c>
      <c r="F34" s="7" t="s">
        <v>17</v>
      </c>
      <c r="G34" s="8">
        <v>7.5</v>
      </c>
      <c r="H34" s="9">
        <f>28+22+51+28</f>
        <v>129</v>
      </c>
      <c r="I34" s="10">
        <f t="shared" si="4"/>
        <v>3.488372093</v>
      </c>
      <c r="J34" s="11"/>
      <c r="P34" s="12" t="str">
        <f t="shared" si="3"/>
        <v>TPfC Phase 3</v>
      </c>
      <c r="Q34" s="12" t="s">
        <v>18</v>
      </c>
      <c r="R34" s="12"/>
      <c r="S34" s="12"/>
      <c r="T34" s="18"/>
      <c r="U34" s="18"/>
      <c r="V34" s="18"/>
      <c r="W34" s="18"/>
      <c r="X34" s="18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16</v>
      </c>
      <c r="F35" s="7" t="s">
        <v>17</v>
      </c>
      <c r="G35" s="8">
        <v>5.0</v>
      </c>
      <c r="H35" s="9">
        <v>114.0</v>
      </c>
      <c r="I35" s="10">
        <f t="shared" si="4"/>
        <v>2.631578947</v>
      </c>
      <c r="J35" s="11"/>
      <c r="P35" s="12" t="str">
        <f t="shared" si="3"/>
        <v>TPfC Phase 3</v>
      </c>
      <c r="Q35" s="12" t="s">
        <v>18</v>
      </c>
      <c r="R35" s="12"/>
      <c r="S35" s="12"/>
      <c r="T35" s="18"/>
      <c r="U35" s="18"/>
      <c r="V35" s="18"/>
      <c r="W35" s="18"/>
      <c r="X35" s="18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 t="s">
        <v>16</v>
      </c>
      <c r="F40" s="7" t="s">
        <v>17</v>
      </c>
      <c r="G40" s="8">
        <v>8.0</v>
      </c>
      <c r="H40" s="14">
        <f>27+49+42+53</f>
        <v>171</v>
      </c>
      <c r="I40" s="10">
        <f t="shared" si="4"/>
        <v>2.807017544</v>
      </c>
      <c r="J40" s="11"/>
      <c r="P40" s="12" t="str">
        <f t="shared" si="3"/>
        <v>TPfC Phase 3</v>
      </c>
      <c r="Q40" s="12" t="s">
        <v>18</v>
      </c>
      <c r="R40" s="12"/>
      <c r="S40" s="12"/>
      <c r="T40" s="18"/>
      <c r="U40" s="18"/>
      <c r="V40" s="18"/>
      <c r="W40" s="18"/>
      <c r="X40" s="18"/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16</v>
      </c>
      <c r="F41" s="7" t="s">
        <v>17</v>
      </c>
      <c r="G41" s="8">
        <v>8.0</v>
      </c>
      <c r="H41" s="14">
        <f>70+12+13+16+8</f>
        <v>119</v>
      </c>
      <c r="I41" s="10">
        <f t="shared" si="4"/>
        <v>4.033613445</v>
      </c>
      <c r="J41" s="11"/>
      <c r="P41" s="12" t="str">
        <f t="shared" si="3"/>
        <v>TPfC Phase 3</v>
      </c>
      <c r="Q41" s="12" t="s">
        <v>18</v>
      </c>
      <c r="R41" s="12"/>
      <c r="S41" s="12"/>
      <c r="T41" s="18"/>
      <c r="U41" s="18"/>
      <c r="V41" s="18"/>
      <c r="W41" s="18"/>
      <c r="X41" s="18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/>
      <c r="F42" s="7"/>
      <c r="G42" s="16"/>
      <c r="H42" s="14"/>
      <c r="I42" s="10" t="str">
        <f t="shared" si="4"/>
        <v/>
      </c>
      <c r="J42" s="11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/>
      <c r="F43" s="7"/>
      <c r="G43" s="16"/>
      <c r="H43" s="14"/>
      <c r="I43" s="10" t="str">
        <f t="shared" si="4"/>
        <v/>
      </c>
      <c r="J43" s="11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16</v>
      </c>
      <c r="F47" s="7" t="s">
        <v>17</v>
      </c>
      <c r="G47" s="8">
        <v>8.0</v>
      </c>
      <c r="H47" s="9">
        <v>5.0</v>
      </c>
      <c r="I47" s="10">
        <f t="shared" si="4"/>
        <v>96</v>
      </c>
      <c r="J47" s="11"/>
      <c r="P47" s="12" t="str">
        <f t="shared" si="3"/>
        <v>TPfC Phase 3</v>
      </c>
      <c r="Q47" s="12" t="s">
        <v>18</v>
      </c>
      <c r="R47" s="12"/>
      <c r="S47" s="12"/>
      <c r="T47" s="18"/>
      <c r="U47" s="18"/>
      <c r="V47" s="18"/>
      <c r="W47" s="18"/>
      <c r="X47" s="18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11</v>
      </c>
      <c r="F48" s="7" t="s">
        <v>13</v>
      </c>
      <c r="G48" s="8">
        <v>8.0</v>
      </c>
      <c r="H48" s="9">
        <v>20.0</v>
      </c>
      <c r="I48" s="10">
        <f t="shared" si="4"/>
        <v>24</v>
      </c>
      <c r="J48" s="11"/>
      <c r="P48" s="12" t="str">
        <f t="shared" si="3"/>
        <v>Netherlands</v>
      </c>
      <c r="Q48" s="12" t="s">
        <v>12</v>
      </c>
      <c r="R48" s="12" t="s">
        <v>13</v>
      </c>
      <c r="S48" s="12" t="s">
        <v>14</v>
      </c>
      <c r="T48" s="12"/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4.0</v>
      </c>
      <c r="H49" s="9">
        <v>12.0</v>
      </c>
      <c r="I49" s="10">
        <f t="shared" si="4"/>
        <v>20</v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11</v>
      </c>
      <c r="F54" s="7" t="s">
        <v>13</v>
      </c>
      <c r="G54" s="8">
        <v>10.0</v>
      </c>
      <c r="H54" s="9">
        <v>32.0</v>
      </c>
      <c r="I54" s="10">
        <f t="shared" si="4"/>
        <v>18.75</v>
      </c>
      <c r="J54" s="11"/>
      <c r="P54" s="12" t="str">
        <f t="shared" si="3"/>
        <v>Netherlands</v>
      </c>
      <c r="Q54" s="12" t="s">
        <v>12</v>
      </c>
      <c r="R54" s="12" t="s">
        <v>13</v>
      </c>
      <c r="S54" s="12" t="s">
        <v>14</v>
      </c>
      <c r="T54" s="12"/>
      <c r="U54" s="12"/>
      <c r="V54" s="12"/>
      <c r="W54" s="12"/>
      <c r="X54" s="12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 t="s">
        <v>11</v>
      </c>
      <c r="F55" s="7" t="s">
        <v>13</v>
      </c>
      <c r="G55" s="8">
        <v>10.0</v>
      </c>
      <c r="H55" s="9">
        <v>30.0</v>
      </c>
      <c r="I55" s="10">
        <f t="shared" si="4"/>
        <v>20</v>
      </c>
      <c r="J55" s="11"/>
      <c r="P55" s="12" t="str">
        <f t="shared" si="3"/>
        <v>Netherlands</v>
      </c>
      <c r="Q55" s="12" t="s">
        <v>12</v>
      </c>
      <c r="R55" s="12" t="s">
        <v>13</v>
      </c>
      <c r="S55" s="12" t="s">
        <v>14</v>
      </c>
      <c r="T55" s="12"/>
      <c r="U55" s="12"/>
      <c r="V55" s="12"/>
      <c r="W55" s="12"/>
      <c r="X55" s="12"/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9.5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si="4"/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4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4"/>
        <v/>
      </c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/>
      <c r="F13" s="7"/>
      <c r="G13" s="16"/>
      <c r="H13" s="14"/>
      <c r="I13" s="10" t="str">
        <f t="shared" si="4"/>
        <v/>
      </c>
      <c r="J13" s="11"/>
      <c r="P13" s="12" t="str">
        <f t="shared" si="3"/>
        <v/>
      </c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/>
      <c r="F14" s="7"/>
      <c r="G14" s="16"/>
      <c r="H14" s="14"/>
      <c r="I14" s="10" t="str">
        <f t="shared" si="4"/>
        <v/>
      </c>
      <c r="J14" s="11"/>
      <c r="P14" s="12" t="str">
        <f t="shared" si="3"/>
        <v/>
      </c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0" t="str">
        <f t="shared" si="4"/>
        <v/>
      </c>
      <c r="J20" s="11"/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/>
      <c r="F21" s="7"/>
      <c r="G21" s="16"/>
      <c r="H21" s="14"/>
      <c r="I21" s="10" t="str">
        <f t="shared" si="4"/>
        <v/>
      </c>
      <c r="J21" s="11"/>
      <c r="P21" s="12" t="str">
        <f t="shared" si="3"/>
        <v/>
      </c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/>
      <c r="F27" s="7"/>
      <c r="G27" s="16"/>
      <c r="H27" s="14"/>
      <c r="I27" s="10" t="str">
        <f t="shared" si="4"/>
        <v/>
      </c>
      <c r="J27" s="11"/>
      <c r="P27" s="12" t="str">
        <f t="shared" si="3"/>
        <v/>
      </c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16"/>
      <c r="H28" s="14"/>
      <c r="I28" s="10" t="str">
        <f t="shared" si="4"/>
        <v/>
      </c>
      <c r="J28" s="11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/>
      <c r="F29" s="7"/>
      <c r="G29" s="16"/>
      <c r="H29" s="14"/>
      <c r="I29" s="10" t="str">
        <f t="shared" si="4"/>
        <v/>
      </c>
      <c r="J29" s="11"/>
      <c r="P29" s="12" t="str">
        <f t="shared" si="3"/>
        <v/>
      </c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16"/>
      <c r="H33" s="14"/>
      <c r="I33" s="10" t="str">
        <f t="shared" si="4"/>
        <v/>
      </c>
      <c r="J33" s="11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/>
      <c r="F34" s="7"/>
      <c r="G34" s="16"/>
      <c r="H34" s="14"/>
      <c r="I34" s="10" t="str">
        <f t="shared" si="4"/>
        <v/>
      </c>
      <c r="J34" s="11"/>
      <c r="P34" s="12" t="str">
        <f t="shared" si="3"/>
        <v/>
      </c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/>
      <c r="F35" s="7"/>
      <c r="G35" s="16"/>
      <c r="H35" s="14"/>
      <c r="I35" s="10" t="str">
        <f t="shared" si="4"/>
        <v/>
      </c>
      <c r="J35" s="11"/>
      <c r="P35" s="12" t="str">
        <f t="shared" si="3"/>
        <v/>
      </c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/>
      <c r="F41" s="7"/>
      <c r="G41" s="16"/>
      <c r="H41" s="14"/>
      <c r="I41" s="10" t="str">
        <f t="shared" si="4"/>
        <v/>
      </c>
      <c r="J41" s="11"/>
      <c r="P41" s="12" t="str">
        <f t="shared" si="3"/>
        <v/>
      </c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/>
      <c r="F42" s="7"/>
      <c r="G42" s="16"/>
      <c r="H42" s="14"/>
      <c r="I42" s="10" t="str">
        <f t="shared" si="4"/>
        <v/>
      </c>
      <c r="J42" s="11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11</v>
      </c>
      <c r="F43" s="7" t="s">
        <v>12</v>
      </c>
      <c r="G43" s="8">
        <v>8.0</v>
      </c>
      <c r="H43" s="9">
        <v>39.0</v>
      </c>
      <c r="I43" s="10">
        <f t="shared" si="4"/>
        <v>12.30769231</v>
      </c>
      <c r="J43" s="11"/>
      <c r="K43" s="27"/>
      <c r="P43" s="12" t="str">
        <f t="shared" si="3"/>
        <v>Netherlands</v>
      </c>
      <c r="Q43" s="12" t="s">
        <v>12</v>
      </c>
      <c r="R43" s="12" t="s">
        <v>13</v>
      </c>
      <c r="S43" s="12" t="s">
        <v>14</v>
      </c>
      <c r="T43" s="12"/>
      <c r="U43" s="12"/>
      <c r="V43" s="12"/>
      <c r="W43" s="12"/>
      <c r="X43" s="12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 t="s">
        <v>11</v>
      </c>
      <c r="F44" s="7" t="s">
        <v>12</v>
      </c>
      <c r="G44" s="8">
        <v>8.0</v>
      </c>
      <c r="H44" s="9">
        <v>38.0</v>
      </c>
      <c r="I44" s="10">
        <f t="shared" si="4"/>
        <v>12.63157895</v>
      </c>
      <c r="J44" s="11"/>
      <c r="K44" s="27"/>
      <c r="P44" s="12" t="str">
        <f t="shared" si="3"/>
        <v>Netherlands</v>
      </c>
      <c r="Q44" s="12" t="s">
        <v>12</v>
      </c>
      <c r="R44" s="12" t="s">
        <v>13</v>
      </c>
      <c r="S44" s="12" t="s">
        <v>14</v>
      </c>
      <c r="T44" s="12"/>
      <c r="U44" s="12"/>
      <c r="V44" s="12"/>
      <c r="W44" s="12"/>
      <c r="X44" s="12"/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 t="s">
        <v>11</v>
      </c>
      <c r="F45" s="7" t="s">
        <v>12</v>
      </c>
      <c r="G45" s="8">
        <v>4.0</v>
      </c>
      <c r="H45" s="9">
        <v>24.0</v>
      </c>
      <c r="I45" s="10">
        <f t="shared" si="4"/>
        <v>10</v>
      </c>
      <c r="J45" s="11"/>
      <c r="K45" s="27"/>
      <c r="P45" s="12" t="str">
        <f t="shared" si="3"/>
        <v>Netherlands</v>
      </c>
      <c r="Q45" s="12" t="s">
        <v>12</v>
      </c>
      <c r="R45" s="12" t="s">
        <v>13</v>
      </c>
      <c r="S45" s="12" t="s">
        <v>14</v>
      </c>
      <c r="T45" s="12"/>
      <c r="U45" s="12"/>
      <c r="V45" s="12"/>
      <c r="W45" s="12"/>
      <c r="X45" s="12"/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11</v>
      </c>
      <c r="F47" s="7" t="s">
        <v>12</v>
      </c>
      <c r="G47" s="8">
        <v>8.0</v>
      </c>
      <c r="H47" s="9">
        <v>40.0</v>
      </c>
      <c r="I47" s="10">
        <f t="shared" si="4"/>
        <v>12</v>
      </c>
      <c r="J47" s="11"/>
      <c r="P47" s="12" t="str">
        <f t="shared" si="3"/>
        <v>Netherlands</v>
      </c>
      <c r="Q47" s="12" t="s">
        <v>12</v>
      </c>
      <c r="R47" s="12" t="s">
        <v>13</v>
      </c>
      <c r="S47" s="12" t="s">
        <v>14</v>
      </c>
      <c r="T47" s="12"/>
      <c r="U47" s="12"/>
      <c r="V47" s="12"/>
      <c r="W47" s="12"/>
      <c r="X47" s="12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11</v>
      </c>
      <c r="F48" s="7"/>
      <c r="G48" s="8">
        <v>8.0</v>
      </c>
      <c r="H48" s="9">
        <v>39.0</v>
      </c>
      <c r="I48" s="10">
        <f t="shared" si="4"/>
        <v>12.30769231</v>
      </c>
      <c r="J48" s="11"/>
      <c r="P48" s="12" t="str">
        <f t="shared" si="3"/>
        <v>Netherlands</v>
      </c>
      <c r="Q48" s="12" t="s">
        <v>12</v>
      </c>
      <c r="R48" s="12" t="s">
        <v>13</v>
      </c>
      <c r="S48" s="12" t="s">
        <v>14</v>
      </c>
      <c r="T48" s="12"/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/>
      <c r="F49" s="7"/>
      <c r="G49" s="16"/>
      <c r="H49" s="14"/>
      <c r="I49" s="10" t="str">
        <f t="shared" si="4"/>
        <v/>
      </c>
      <c r="J49" s="11"/>
      <c r="P49" s="12" t="str">
        <f t="shared" si="3"/>
        <v/>
      </c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 t="s">
        <v>11</v>
      </c>
      <c r="F50" s="7" t="s">
        <v>12</v>
      </c>
      <c r="G50" s="8">
        <v>4.0</v>
      </c>
      <c r="H50" s="9">
        <v>22.0</v>
      </c>
      <c r="I50" s="10">
        <f t="shared" si="4"/>
        <v>10.90909091</v>
      </c>
      <c r="J50" s="15" t="s">
        <v>45</v>
      </c>
      <c r="P50" s="12" t="str">
        <f t="shared" si="3"/>
        <v>Netherlands</v>
      </c>
      <c r="Q50" s="12" t="s">
        <v>12</v>
      </c>
      <c r="R50" s="12" t="s">
        <v>13</v>
      </c>
      <c r="S50" s="12" t="s">
        <v>14</v>
      </c>
      <c r="T50" s="12"/>
      <c r="U50" s="12"/>
      <c r="V50" s="12"/>
      <c r="W50" s="12"/>
      <c r="X50" s="12"/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11</v>
      </c>
      <c r="F54" s="7" t="s">
        <v>13</v>
      </c>
      <c r="G54" s="8">
        <v>8.0</v>
      </c>
      <c r="H54" s="9">
        <v>62.0</v>
      </c>
      <c r="I54" s="10">
        <f t="shared" si="4"/>
        <v>7.741935484</v>
      </c>
      <c r="J54" s="11"/>
      <c r="P54" s="12" t="str">
        <f t="shared" si="3"/>
        <v>Netherlands</v>
      </c>
      <c r="Q54" s="12" t="s">
        <v>12</v>
      </c>
      <c r="R54" s="12" t="s">
        <v>13</v>
      </c>
      <c r="S54" s="12" t="s">
        <v>14</v>
      </c>
      <c r="T54" s="12"/>
      <c r="U54" s="12"/>
      <c r="V54" s="12"/>
      <c r="W54" s="12"/>
      <c r="X54" s="12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 t="s">
        <v>11</v>
      </c>
      <c r="F55" s="7" t="s">
        <v>13</v>
      </c>
      <c r="G55" s="8">
        <v>8.0</v>
      </c>
      <c r="H55" s="9">
        <v>44.0</v>
      </c>
      <c r="I55" s="10">
        <f t="shared" si="4"/>
        <v>10.90909091</v>
      </c>
      <c r="J55" s="11"/>
      <c r="P55" s="12" t="str">
        <f t="shared" si="3"/>
        <v>Netherlands</v>
      </c>
      <c r="Q55" s="12" t="s">
        <v>12</v>
      </c>
      <c r="R55" s="12" t="s">
        <v>13</v>
      </c>
      <c r="S55" s="12" t="s">
        <v>14</v>
      </c>
      <c r="T55" s="12"/>
      <c r="U55" s="12"/>
      <c r="V55" s="12"/>
      <c r="W55" s="12"/>
      <c r="X55" s="12"/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 t="s">
        <v>11</v>
      </c>
      <c r="F56" s="7" t="s">
        <v>13</v>
      </c>
      <c r="G56" s="8">
        <v>4.0</v>
      </c>
      <c r="H56" s="9">
        <v>28.0</v>
      </c>
      <c r="I56" s="10">
        <f t="shared" si="4"/>
        <v>8.571428571</v>
      </c>
      <c r="J56" s="11"/>
      <c r="P56" s="12" t="str">
        <f t="shared" si="3"/>
        <v>Netherlands</v>
      </c>
      <c r="Q56" s="12" t="s">
        <v>12</v>
      </c>
      <c r="R56" s="12" t="s">
        <v>13</v>
      </c>
      <c r="S56" s="12" t="s">
        <v>14</v>
      </c>
      <c r="T56" s="12"/>
      <c r="U56" s="12"/>
      <c r="V56" s="12"/>
      <c r="W56" s="12"/>
      <c r="X56" s="12"/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1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1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1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11</v>
      </c>
      <c r="F5" s="7" t="s">
        <v>14</v>
      </c>
      <c r="G5" s="8">
        <v>8.0</v>
      </c>
      <c r="H5" s="14"/>
      <c r="I5" s="10" t="str">
        <f t="shared" si="4"/>
        <v/>
      </c>
      <c r="J5" s="11"/>
      <c r="P5" s="12" t="str">
        <f t="shared" si="3"/>
        <v>Netherlands</v>
      </c>
      <c r="Q5" s="12" t="s">
        <v>12</v>
      </c>
      <c r="R5" s="12" t="s">
        <v>13</v>
      </c>
      <c r="S5" s="12" t="s">
        <v>14</v>
      </c>
      <c r="T5" s="12"/>
      <c r="U5" s="12"/>
      <c r="V5" s="12"/>
      <c r="W5" s="12"/>
      <c r="X5" s="12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17"/>
      <c r="F6" s="7"/>
      <c r="G6" s="13"/>
      <c r="H6" s="14"/>
      <c r="I6" s="10" t="str">
        <f t="shared" si="4"/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11</v>
      </c>
      <c r="F7" s="7" t="s">
        <v>14</v>
      </c>
      <c r="G7" s="8">
        <v>8.0</v>
      </c>
      <c r="H7" s="14"/>
      <c r="I7" s="10" t="str">
        <f t="shared" si="4"/>
        <v/>
      </c>
      <c r="J7" s="11"/>
      <c r="P7" s="12" t="str">
        <f t="shared" si="3"/>
        <v>Netherlands</v>
      </c>
      <c r="Q7" s="12" t="s">
        <v>12</v>
      </c>
      <c r="R7" s="12" t="s">
        <v>13</v>
      </c>
      <c r="S7" s="12" t="s">
        <v>14</v>
      </c>
      <c r="T7" s="12"/>
      <c r="U7" s="12"/>
      <c r="V7" s="12"/>
      <c r="W7" s="12"/>
      <c r="X7" s="12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1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 t="s">
        <v>11</v>
      </c>
      <c r="F9" s="7" t="s">
        <v>14</v>
      </c>
      <c r="G9" s="8">
        <v>4.0</v>
      </c>
      <c r="H9" s="14"/>
      <c r="I9" s="10" t="str">
        <f t="shared" si="4"/>
        <v/>
      </c>
      <c r="J9" s="11"/>
      <c r="P9" s="12" t="str">
        <f t="shared" si="3"/>
        <v>Netherlands</v>
      </c>
      <c r="Q9" s="12" t="s">
        <v>12</v>
      </c>
      <c r="R9" s="12" t="s">
        <v>13</v>
      </c>
      <c r="S9" s="12" t="s">
        <v>14</v>
      </c>
      <c r="T9" s="12"/>
      <c r="U9" s="12"/>
      <c r="V9" s="12"/>
      <c r="W9" s="12"/>
      <c r="X9" s="12"/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1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1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21</v>
      </c>
      <c r="F12" s="7" t="s">
        <v>25</v>
      </c>
      <c r="G12" s="8">
        <v>8.0</v>
      </c>
      <c r="H12" s="14"/>
      <c r="I12" s="10" t="str">
        <f t="shared" si="4"/>
        <v/>
      </c>
      <c r="J12" s="11"/>
      <c r="P12" s="12" t="str">
        <f t="shared" si="3"/>
        <v>Audi Crossings QC</v>
      </c>
      <c r="Q12" s="12" t="s">
        <v>24</v>
      </c>
      <c r="R12" s="12" t="s">
        <v>25</v>
      </c>
      <c r="S12" s="12" t="s">
        <v>26</v>
      </c>
      <c r="T12" s="12" t="s">
        <v>27</v>
      </c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21</v>
      </c>
      <c r="F13" s="7" t="s">
        <v>25</v>
      </c>
      <c r="G13" s="8">
        <v>8.0</v>
      </c>
      <c r="H13" s="14"/>
      <c r="I13" s="10" t="str">
        <f t="shared" si="4"/>
        <v/>
      </c>
      <c r="J13" s="11"/>
      <c r="P13" s="12" t="str">
        <f t="shared" si="3"/>
        <v>Audi Crossings QC</v>
      </c>
      <c r="Q13" s="12" t="s">
        <v>24</v>
      </c>
      <c r="R13" s="12" t="s">
        <v>25</v>
      </c>
      <c r="S13" s="12" t="s">
        <v>26</v>
      </c>
      <c r="T13" s="12" t="s">
        <v>27</v>
      </c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21</v>
      </c>
      <c r="F14" s="7" t="s">
        <v>25</v>
      </c>
      <c r="G14" s="8">
        <v>4.0</v>
      </c>
      <c r="H14" s="14"/>
      <c r="I14" s="10" t="str">
        <f t="shared" si="4"/>
        <v/>
      </c>
      <c r="J14" s="11"/>
      <c r="P14" s="12" t="str">
        <f t="shared" si="3"/>
        <v>Audi Crossings QC</v>
      </c>
      <c r="Q14" s="12" t="s">
        <v>24</v>
      </c>
      <c r="R14" s="12" t="s">
        <v>25</v>
      </c>
      <c r="S14" s="12" t="s">
        <v>26</v>
      </c>
      <c r="T14" s="12" t="s">
        <v>27</v>
      </c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1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1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1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1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21</v>
      </c>
      <c r="F19" s="7" t="s">
        <v>25</v>
      </c>
      <c r="G19" s="8">
        <v>8.0</v>
      </c>
      <c r="H19" s="14"/>
      <c r="I19" s="10" t="str">
        <f t="shared" si="4"/>
        <v/>
      </c>
      <c r="J19" s="11"/>
      <c r="P19" s="12" t="str">
        <f t="shared" si="3"/>
        <v>Audi Crossings QC</v>
      </c>
      <c r="Q19" s="12" t="s">
        <v>24</v>
      </c>
      <c r="R19" s="12" t="s">
        <v>25</v>
      </c>
      <c r="S19" s="12" t="s">
        <v>26</v>
      </c>
      <c r="T19" s="12" t="s">
        <v>27</v>
      </c>
      <c r="U19" s="12"/>
      <c r="V19" s="12"/>
      <c r="W19" s="12"/>
      <c r="X19" s="12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17"/>
      <c r="F20" s="7"/>
      <c r="G20" s="16"/>
      <c r="H20" s="14"/>
      <c r="I20" s="10" t="str">
        <f t="shared" si="4"/>
        <v/>
      </c>
      <c r="J20" s="11"/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21</v>
      </c>
      <c r="F21" s="7" t="s">
        <v>25</v>
      </c>
      <c r="G21" s="8">
        <v>8.0</v>
      </c>
      <c r="H21" s="14"/>
      <c r="I21" s="10" t="str">
        <f t="shared" si="4"/>
        <v/>
      </c>
      <c r="J21" s="11"/>
      <c r="P21" s="12" t="str">
        <f t="shared" si="3"/>
        <v>Audi Crossings QC</v>
      </c>
      <c r="Q21" s="12" t="s">
        <v>24</v>
      </c>
      <c r="R21" s="12" t="s">
        <v>25</v>
      </c>
      <c r="S21" s="12" t="s">
        <v>26</v>
      </c>
      <c r="T21" s="12" t="s">
        <v>27</v>
      </c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1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 t="s">
        <v>21</v>
      </c>
      <c r="F23" s="7" t="s">
        <v>25</v>
      </c>
      <c r="G23" s="8">
        <v>4.0</v>
      </c>
      <c r="H23" s="14"/>
      <c r="I23" s="10" t="str">
        <f t="shared" si="4"/>
        <v/>
      </c>
      <c r="J23" s="11"/>
      <c r="P23" s="12" t="str">
        <f t="shared" si="3"/>
        <v>Audi Crossings QC</v>
      </c>
      <c r="Q23" s="12" t="s">
        <v>24</v>
      </c>
      <c r="R23" s="12" t="s">
        <v>25</v>
      </c>
      <c r="S23" s="12" t="s">
        <v>26</v>
      </c>
      <c r="T23" s="12" t="s">
        <v>27</v>
      </c>
      <c r="U23" s="12"/>
      <c r="V23" s="12"/>
      <c r="W23" s="12"/>
      <c r="X23" s="12"/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1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1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 t="s">
        <v>21</v>
      </c>
      <c r="F26" s="7" t="s">
        <v>25</v>
      </c>
      <c r="G26" s="8">
        <v>4.0</v>
      </c>
      <c r="H26" s="9">
        <v>21.0</v>
      </c>
      <c r="I26" s="10">
        <f t="shared" si="4"/>
        <v>11.42857143</v>
      </c>
      <c r="J26" s="11"/>
      <c r="P26" s="12" t="str">
        <f t="shared" si="3"/>
        <v>Audi Crossings QC</v>
      </c>
      <c r="Q26" s="12" t="s">
        <v>24</v>
      </c>
      <c r="R26" s="12" t="s">
        <v>25</v>
      </c>
      <c r="S26" s="12" t="s">
        <v>26</v>
      </c>
      <c r="T26" s="12" t="s">
        <v>27</v>
      </c>
      <c r="U26" s="12"/>
      <c r="V26" s="12"/>
      <c r="W26" s="12"/>
      <c r="X26" s="12"/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21</v>
      </c>
      <c r="F27" s="7" t="s">
        <v>25</v>
      </c>
      <c r="G27" s="8">
        <v>8.0</v>
      </c>
      <c r="H27" s="9">
        <v>32.0</v>
      </c>
      <c r="I27" s="10">
        <f t="shared" si="4"/>
        <v>15</v>
      </c>
      <c r="J27" s="11"/>
      <c r="P27" s="12" t="str">
        <f t="shared" si="3"/>
        <v>Audi Crossings QC</v>
      </c>
      <c r="Q27" s="12" t="s">
        <v>24</v>
      </c>
      <c r="R27" s="12" t="s">
        <v>25</v>
      </c>
      <c r="S27" s="12" t="s">
        <v>26</v>
      </c>
      <c r="T27" s="12" t="s">
        <v>27</v>
      </c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21</v>
      </c>
      <c r="F28" s="7" t="s">
        <v>25</v>
      </c>
      <c r="G28" s="8">
        <v>5.0</v>
      </c>
      <c r="H28" s="9">
        <v>26.0</v>
      </c>
      <c r="I28" s="10">
        <f t="shared" si="4"/>
        <v>11.53846154</v>
      </c>
      <c r="J28" s="11"/>
      <c r="P28" s="12" t="str">
        <f t="shared" si="3"/>
        <v>Audi Crossings QC</v>
      </c>
      <c r="Q28" s="12" t="s">
        <v>24</v>
      </c>
      <c r="R28" s="12" t="s">
        <v>25</v>
      </c>
      <c r="S28" s="12" t="s">
        <v>26</v>
      </c>
      <c r="T28" s="12" t="s">
        <v>27</v>
      </c>
      <c r="U28" s="12"/>
      <c r="V28" s="12"/>
      <c r="W28" s="12"/>
      <c r="X28" s="12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21</v>
      </c>
      <c r="F29" s="7" t="s">
        <v>25</v>
      </c>
      <c r="G29" s="8">
        <v>3.0</v>
      </c>
      <c r="H29" s="9">
        <v>15.0</v>
      </c>
      <c r="I29" s="10">
        <f t="shared" si="4"/>
        <v>12</v>
      </c>
      <c r="J29" s="11"/>
      <c r="P29" s="12" t="str">
        <f t="shared" si="3"/>
        <v>Audi Crossings QC</v>
      </c>
      <c r="Q29" s="12" t="s">
        <v>24</v>
      </c>
      <c r="R29" s="12" t="s">
        <v>25</v>
      </c>
      <c r="S29" s="12" t="s">
        <v>26</v>
      </c>
      <c r="T29" s="12" t="s">
        <v>27</v>
      </c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1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1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1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16</v>
      </c>
      <c r="F33" s="7" t="s">
        <v>17</v>
      </c>
      <c r="G33" s="8">
        <v>8.0</v>
      </c>
      <c r="H33" s="9">
        <v>36.0</v>
      </c>
      <c r="I33" s="10">
        <f t="shared" si="4"/>
        <v>13.33333333</v>
      </c>
      <c r="J33" s="11"/>
      <c r="P33" s="12" t="str">
        <f t="shared" si="3"/>
        <v>TPfC Phase 3</v>
      </c>
      <c r="Q33" s="12" t="s">
        <v>18</v>
      </c>
      <c r="R33" s="12"/>
      <c r="S33" s="12"/>
      <c r="T33" s="18"/>
      <c r="U33" s="18"/>
      <c r="V33" s="18"/>
      <c r="W33" s="18"/>
      <c r="X33" s="18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16</v>
      </c>
      <c r="F34" s="7" t="s">
        <v>17</v>
      </c>
      <c r="G34" s="8">
        <v>8.0</v>
      </c>
      <c r="H34" s="9">
        <v>51.0</v>
      </c>
      <c r="I34" s="10">
        <f t="shared" si="4"/>
        <v>9.411764706</v>
      </c>
      <c r="J34" s="11"/>
      <c r="P34" s="12" t="str">
        <f t="shared" si="3"/>
        <v>TPfC Phase 3</v>
      </c>
      <c r="Q34" s="12" t="s">
        <v>18</v>
      </c>
      <c r="R34" s="12"/>
      <c r="S34" s="12"/>
      <c r="T34" s="18"/>
      <c r="U34" s="18"/>
      <c r="V34" s="18"/>
      <c r="W34" s="18"/>
      <c r="X34" s="18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16</v>
      </c>
      <c r="F35" s="7" t="s">
        <v>17</v>
      </c>
      <c r="G35" s="8">
        <v>4.0</v>
      </c>
      <c r="H35" s="9">
        <v>33.0</v>
      </c>
      <c r="I35" s="10">
        <f t="shared" si="4"/>
        <v>7.272727273</v>
      </c>
      <c r="J35" s="11"/>
      <c r="P35" s="12" t="str">
        <f t="shared" si="3"/>
        <v>TPfC Phase 3</v>
      </c>
      <c r="Q35" s="12" t="s">
        <v>18</v>
      </c>
      <c r="R35" s="12"/>
      <c r="S35" s="12"/>
      <c r="T35" s="18"/>
      <c r="U35" s="18"/>
      <c r="V35" s="18"/>
      <c r="W35" s="18"/>
      <c r="X35" s="18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1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1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1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1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 t="s">
        <v>16</v>
      </c>
      <c r="F40" s="7" t="s">
        <v>17</v>
      </c>
      <c r="G40" s="8">
        <v>8.0</v>
      </c>
      <c r="H40" s="9">
        <v>39.0</v>
      </c>
      <c r="I40" s="10">
        <f t="shared" si="4"/>
        <v>12.30769231</v>
      </c>
      <c r="J40" s="11"/>
      <c r="P40" s="12" t="str">
        <f t="shared" si="3"/>
        <v>TPfC Phase 3</v>
      </c>
      <c r="Q40" s="12" t="s">
        <v>18</v>
      </c>
      <c r="R40" s="12"/>
      <c r="S40" s="12"/>
      <c r="T40" s="18"/>
      <c r="U40" s="18"/>
      <c r="V40" s="18"/>
      <c r="W40" s="18"/>
      <c r="X40" s="18"/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16</v>
      </c>
      <c r="F41" s="7" t="s">
        <v>17</v>
      </c>
      <c r="G41" s="8">
        <v>8.0</v>
      </c>
      <c r="H41" s="9">
        <v>26.0</v>
      </c>
      <c r="I41" s="10">
        <f t="shared" si="4"/>
        <v>18.46153846</v>
      </c>
      <c r="J41" s="11"/>
      <c r="P41" s="12" t="str">
        <f t="shared" si="3"/>
        <v>TPfC Phase 3</v>
      </c>
      <c r="Q41" s="12" t="s">
        <v>18</v>
      </c>
      <c r="R41" s="12"/>
      <c r="S41" s="12"/>
      <c r="T41" s="18"/>
      <c r="U41" s="18"/>
      <c r="V41" s="18"/>
      <c r="W41" s="18"/>
      <c r="X41" s="18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16</v>
      </c>
      <c r="F42" s="7" t="s">
        <v>17</v>
      </c>
      <c r="G42" s="8">
        <v>4.0</v>
      </c>
      <c r="H42" s="9">
        <v>0.0</v>
      </c>
      <c r="I42" s="10" t="str">
        <f t="shared" si="4"/>
        <v/>
      </c>
      <c r="J42" s="11"/>
      <c r="P42" s="12" t="str">
        <f t="shared" si="3"/>
        <v>TPfC Phase 3</v>
      </c>
      <c r="Q42" s="12" t="s">
        <v>18</v>
      </c>
      <c r="R42" s="12"/>
      <c r="S42" s="12"/>
      <c r="T42" s="18"/>
      <c r="U42" s="18"/>
      <c r="V42" s="18"/>
      <c r="W42" s="18"/>
      <c r="X42" s="18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17"/>
      <c r="F43" s="7"/>
      <c r="G43" s="16"/>
      <c r="H43" s="14"/>
      <c r="I43" s="10" t="str">
        <f t="shared" si="4"/>
        <v/>
      </c>
      <c r="J43" s="11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1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1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1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16</v>
      </c>
      <c r="F47" s="7" t="s">
        <v>17</v>
      </c>
      <c r="G47" s="8">
        <v>8.0</v>
      </c>
      <c r="H47" s="9">
        <v>34.0</v>
      </c>
      <c r="I47" s="10">
        <f t="shared" si="4"/>
        <v>14.11764706</v>
      </c>
      <c r="J47" s="11"/>
      <c r="P47" s="12" t="str">
        <f t="shared" si="3"/>
        <v>TPfC Phase 3</v>
      </c>
      <c r="Q47" s="12" t="s">
        <v>18</v>
      </c>
      <c r="R47" s="12"/>
      <c r="S47" s="12"/>
      <c r="T47" s="18"/>
      <c r="U47" s="18"/>
      <c r="V47" s="18"/>
      <c r="W47" s="18"/>
      <c r="X47" s="18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16</v>
      </c>
      <c r="F48" s="7" t="s">
        <v>17</v>
      </c>
      <c r="G48" s="8">
        <v>8.0</v>
      </c>
      <c r="H48" s="9">
        <v>40.0</v>
      </c>
      <c r="I48" s="10">
        <f t="shared" si="4"/>
        <v>12</v>
      </c>
      <c r="J48" s="11"/>
      <c r="P48" s="12" t="str">
        <f t="shared" si="3"/>
        <v>TPfC Phase 3</v>
      </c>
      <c r="Q48" s="12" t="s">
        <v>18</v>
      </c>
      <c r="R48" s="12"/>
      <c r="S48" s="12"/>
      <c r="T48" s="18"/>
      <c r="U48" s="18"/>
      <c r="V48" s="18"/>
      <c r="W48" s="18"/>
      <c r="X48" s="18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16</v>
      </c>
      <c r="F49" s="7" t="s">
        <v>17</v>
      </c>
      <c r="G49" s="8">
        <v>4.0</v>
      </c>
      <c r="H49" s="9">
        <v>24.0</v>
      </c>
      <c r="I49" s="10">
        <f t="shared" si="4"/>
        <v>10</v>
      </c>
      <c r="J49" s="11"/>
      <c r="P49" s="12" t="str">
        <f t="shared" si="3"/>
        <v>TPfC Phase 3</v>
      </c>
      <c r="Q49" s="12" t="s">
        <v>18</v>
      </c>
      <c r="R49" s="12"/>
      <c r="S49" s="12"/>
      <c r="T49" s="18"/>
      <c r="U49" s="18"/>
      <c r="V49" s="18"/>
      <c r="W49" s="18"/>
      <c r="X49" s="18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1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1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1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1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16</v>
      </c>
      <c r="F54" s="7" t="s">
        <v>17</v>
      </c>
      <c r="G54" s="8">
        <v>8.0</v>
      </c>
      <c r="H54" s="9">
        <v>42.0</v>
      </c>
      <c r="I54" s="10">
        <f t="shared" si="4"/>
        <v>11.42857143</v>
      </c>
      <c r="J54" s="11"/>
      <c r="P54" s="12" t="str">
        <f t="shared" si="3"/>
        <v>TPfC Phase 3</v>
      </c>
      <c r="Q54" s="12" t="s">
        <v>18</v>
      </c>
      <c r="R54" s="12"/>
      <c r="S54" s="12"/>
      <c r="T54" s="18"/>
      <c r="U54" s="18"/>
      <c r="V54" s="18"/>
      <c r="W54" s="18"/>
      <c r="X54" s="18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1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1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1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1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1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1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1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1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1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1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1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1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1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1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1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1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1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1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1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1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1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1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1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1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1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1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1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1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1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1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1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1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1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1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1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1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1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1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1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1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1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1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1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1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1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1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1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1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1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1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1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1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1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1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1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1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1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1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1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1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1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1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1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1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1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1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1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1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1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1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1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1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1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1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1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1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1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1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1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1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1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1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1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1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1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1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1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1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1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1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1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1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1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1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1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1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1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1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1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1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1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1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1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1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1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1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1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1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1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1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1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1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1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1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1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1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1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1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1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1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1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1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1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1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1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1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1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1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1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1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1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1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1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1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1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1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1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1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1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1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1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1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1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1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1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1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1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1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1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1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1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1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1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1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1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1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1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1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1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1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1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1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1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1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1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1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1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1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1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1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1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1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1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1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1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1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1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1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1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1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1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1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1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1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1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1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1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1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1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1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1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1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  <dataValidation type="list" allowBlank="1" sqref="E2:E246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si="4"/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4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21</v>
      </c>
      <c r="F12" s="7" t="s">
        <v>25</v>
      </c>
      <c r="G12" s="8">
        <v>8.0</v>
      </c>
      <c r="H12" s="14"/>
      <c r="I12" s="10" t="str">
        <f t="shared" si="4"/>
        <v/>
      </c>
      <c r="J12" s="11"/>
      <c r="P12" s="12" t="str">
        <f t="shared" si="3"/>
        <v>Audi Crossings QC</v>
      </c>
      <c r="Q12" s="12" t="s">
        <v>24</v>
      </c>
      <c r="R12" s="12" t="s">
        <v>25</v>
      </c>
      <c r="S12" s="12" t="s">
        <v>26</v>
      </c>
      <c r="T12" s="12" t="s">
        <v>27</v>
      </c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21</v>
      </c>
      <c r="F13" s="7" t="s">
        <v>25</v>
      </c>
      <c r="G13" s="8">
        <v>8.0</v>
      </c>
      <c r="H13" s="14"/>
      <c r="I13" s="10" t="str">
        <f t="shared" si="4"/>
        <v/>
      </c>
      <c r="J13" s="11"/>
      <c r="P13" s="12" t="str">
        <f t="shared" si="3"/>
        <v>Audi Crossings QC</v>
      </c>
      <c r="Q13" s="12" t="s">
        <v>24</v>
      </c>
      <c r="R13" s="12" t="s">
        <v>25</v>
      </c>
      <c r="S13" s="12" t="s">
        <v>26</v>
      </c>
      <c r="T13" s="12" t="s">
        <v>27</v>
      </c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21</v>
      </c>
      <c r="F14" s="7" t="s">
        <v>25</v>
      </c>
      <c r="G14" s="8">
        <v>4.0</v>
      </c>
      <c r="H14" s="14"/>
      <c r="I14" s="10" t="str">
        <f t="shared" si="4"/>
        <v/>
      </c>
      <c r="J14" s="11"/>
      <c r="P14" s="12" t="str">
        <f t="shared" si="3"/>
        <v>Audi Crossings QC</v>
      </c>
      <c r="Q14" s="12" t="s">
        <v>24</v>
      </c>
      <c r="R14" s="12" t="s">
        <v>25</v>
      </c>
      <c r="S14" s="12" t="s">
        <v>26</v>
      </c>
      <c r="T14" s="12" t="s">
        <v>27</v>
      </c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21</v>
      </c>
      <c r="F19" s="7" t="s">
        <v>25</v>
      </c>
      <c r="G19" s="8">
        <v>8.0</v>
      </c>
      <c r="H19" s="14"/>
      <c r="I19" s="10" t="str">
        <f t="shared" si="4"/>
        <v/>
      </c>
      <c r="J19" s="11"/>
      <c r="P19" s="12" t="str">
        <f t="shared" si="3"/>
        <v>Audi Crossings QC</v>
      </c>
      <c r="Q19" s="12" t="s">
        <v>24</v>
      </c>
      <c r="R19" s="12" t="s">
        <v>25</v>
      </c>
      <c r="S19" s="12" t="s">
        <v>26</v>
      </c>
      <c r="T19" s="12" t="s">
        <v>27</v>
      </c>
      <c r="U19" s="12"/>
      <c r="V19" s="12"/>
      <c r="W19" s="12"/>
      <c r="X19" s="12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21</v>
      </c>
      <c r="F20" s="7" t="s">
        <v>25</v>
      </c>
      <c r="G20" s="8">
        <v>8.0</v>
      </c>
      <c r="H20" s="14"/>
      <c r="I20" s="10" t="str">
        <f t="shared" si="4"/>
        <v/>
      </c>
      <c r="J20" s="11"/>
      <c r="P20" s="12" t="str">
        <f t="shared" si="3"/>
        <v>Audi Crossings QC</v>
      </c>
      <c r="Q20" s="12" t="s">
        <v>24</v>
      </c>
      <c r="R20" s="12" t="s">
        <v>25</v>
      </c>
      <c r="S20" s="12" t="s">
        <v>26</v>
      </c>
      <c r="T20" s="12" t="s">
        <v>27</v>
      </c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21</v>
      </c>
      <c r="F21" s="7" t="s">
        <v>25</v>
      </c>
      <c r="G21" s="8">
        <v>4.0</v>
      </c>
      <c r="H21" s="14"/>
      <c r="I21" s="10" t="str">
        <f t="shared" si="4"/>
        <v/>
      </c>
      <c r="J21" s="11"/>
      <c r="P21" s="12" t="str">
        <f t="shared" si="3"/>
        <v>Audi Crossings QC</v>
      </c>
      <c r="Q21" s="12" t="s">
        <v>24</v>
      </c>
      <c r="R21" s="12" t="s">
        <v>25</v>
      </c>
      <c r="S21" s="12" t="s">
        <v>26</v>
      </c>
      <c r="T21" s="12" t="s">
        <v>27</v>
      </c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21</v>
      </c>
      <c r="F27" s="7" t="s">
        <v>25</v>
      </c>
      <c r="G27" s="8">
        <v>4.0</v>
      </c>
      <c r="H27" s="9">
        <v>22.0</v>
      </c>
      <c r="I27" s="10">
        <f t="shared" si="4"/>
        <v>10.90909091</v>
      </c>
      <c r="J27" s="11"/>
      <c r="P27" s="12" t="str">
        <f t="shared" si="3"/>
        <v>Audi Crossings QC</v>
      </c>
      <c r="Q27" s="12" t="s">
        <v>24</v>
      </c>
      <c r="R27" s="12" t="s">
        <v>25</v>
      </c>
      <c r="S27" s="12" t="s">
        <v>26</v>
      </c>
      <c r="T27" s="12" t="s">
        <v>27</v>
      </c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16"/>
      <c r="H28" s="14"/>
      <c r="I28" s="10" t="str">
        <f t="shared" si="4"/>
        <v/>
      </c>
      <c r="J28" s="11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21</v>
      </c>
      <c r="F29" s="7" t="s">
        <v>25</v>
      </c>
      <c r="G29" s="8">
        <v>8.0</v>
      </c>
      <c r="H29" s="9">
        <v>35.0</v>
      </c>
      <c r="I29" s="10">
        <f t="shared" si="4"/>
        <v>13.71428571</v>
      </c>
      <c r="J29" s="11"/>
      <c r="P29" s="12" t="str">
        <f t="shared" si="3"/>
        <v>Audi Crossings QC</v>
      </c>
      <c r="Q29" s="12" t="s">
        <v>24</v>
      </c>
      <c r="R29" s="12" t="s">
        <v>25</v>
      </c>
      <c r="S29" s="12" t="s">
        <v>26</v>
      </c>
      <c r="T29" s="12" t="s">
        <v>27</v>
      </c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 t="s">
        <v>21</v>
      </c>
      <c r="F32" s="7" t="s">
        <v>25</v>
      </c>
      <c r="G32" s="8">
        <v>8.0</v>
      </c>
      <c r="H32" s="9">
        <v>33.0</v>
      </c>
      <c r="I32" s="10">
        <f t="shared" si="4"/>
        <v>14.54545455</v>
      </c>
      <c r="J32" s="11"/>
      <c r="P32" s="12" t="str">
        <f t="shared" si="3"/>
        <v>Audi Crossings QC</v>
      </c>
      <c r="Q32" s="12" t="s">
        <v>24</v>
      </c>
      <c r="R32" s="12" t="s">
        <v>25</v>
      </c>
      <c r="S32" s="12" t="s">
        <v>26</v>
      </c>
      <c r="T32" s="12" t="s">
        <v>27</v>
      </c>
      <c r="U32" s="12"/>
      <c r="V32" s="12"/>
      <c r="W32" s="12"/>
      <c r="X32" s="12"/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16"/>
      <c r="H33" s="14"/>
      <c r="I33" s="10" t="str">
        <f t="shared" si="4"/>
        <v/>
      </c>
      <c r="J33" s="11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/>
      <c r="F34" s="7"/>
      <c r="G34" s="16"/>
      <c r="H34" s="14"/>
      <c r="I34" s="10" t="str">
        <f t="shared" si="4"/>
        <v/>
      </c>
      <c r="J34" s="11"/>
      <c r="P34" s="12" t="str">
        <f t="shared" si="3"/>
        <v/>
      </c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21</v>
      </c>
      <c r="F35" s="7" t="s">
        <v>25</v>
      </c>
      <c r="G35" s="8">
        <v>6.0</v>
      </c>
      <c r="H35" s="9">
        <v>20.0</v>
      </c>
      <c r="I35" s="10">
        <f t="shared" si="4"/>
        <v>18</v>
      </c>
      <c r="J35" s="11"/>
      <c r="P35" s="12" t="str">
        <f t="shared" si="3"/>
        <v>Audi Crossings QC</v>
      </c>
      <c r="Q35" s="12" t="s">
        <v>24</v>
      </c>
      <c r="R35" s="12" t="s">
        <v>25</v>
      </c>
      <c r="S35" s="12" t="s">
        <v>26</v>
      </c>
      <c r="T35" s="12" t="s">
        <v>27</v>
      </c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 t="s">
        <v>11</v>
      </c>
      <c r="F36" s="7" t="s">
        <v>12</v>
      </c>
      <c r="G36" s="8">
        <v>5.0</v>
      </c>
      <c r="H36" s="9">
        <v>25.0</v>
      </c>
      <c r="I36" s="10">
        <f t="shared" si="4"/>
        <v>12</v>
      </c>
      <c r="J36" s="11"/>
      <c r="P36" s="12" t="str">
        <f t="shared" si="3"/>
        <v>Netherlands</v>
      </c>
      <c r="Q36" s="12" t="s">
        <v>12</v>
      </c>
      <c r="R36" s="12" t="s">
        <v>13</v>
      </c>
      <c r="S36" s="12" t="s">
        <v>14</v>
      </c>
      <c r="T36" s="12"/>
      <c r="U36" s="12"/>
      <c r="V36" s="12"/>
      <c r="W36" s="12"/>
      <c r="X36" s="12"/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 t="s">
        <v>11</v>
      </c>
      <c r="F37" s="7" t="s">
        <v>12</v>
      </c>
      <c r="G37" s="8">
        <v>9.0</v>
      </c>
      <c r="H37" s="9">
        <v>50.0</v>
      </c>
      <c r="I37" s="10">
        <f t="shared" si="4"/>
        <v>10.8</v>
      </c>
      <c r="J37" s="11"/>
      <c r="P37" s="12" t="str">
        <f t="shared" si="3"/>
        <v>Netherlands</v>
      </c>
      <c r="Q37" s="12" t="s">
        <v>12</v>
      </c>
      <c r="R37" s="12" t="s">
        <v>13</v>
      </c>
      <c r="S37" s="12" t="s">
        <v>14</v>
      </c>
      <c r="T37" s="12"/>
      <c r="U37" s="12"/>
      <c r="V37" s="12"/>
      <c r="W37" s="12"/>
      <c r="X37" s="12"/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 t="s">
        <v>21</v>
      </c>
      <c r="F40" s="7" t="s">
        <v>25</v>
      </c>
      <c r="G40" s="8">
        <v>3.0</v>
      </c>
      <c r="H40" s="9">
        <v>10.0</v>
      </c>
      <c r="I40" s="10">
        <f t="shared" si="4"/>
        <v>18</v>
      </c>
      <c r="J40" s="11"/>
      <c r="P40" s="12" t="str">
        <f t="shared" si="3"/>
        <v>Audi Crossings QC</v>
      </c>
      <c r="Q40" s="12" t="s">
        <v>24</v>
      </c>
      <c r="R40" s="12" t="s">
        <v>25</v>
      </c>
      <c r="S40" s="12" t="s">
        <v>26</v>
      </c>
      <c r="T40" s="12" t="s">
        <v>27</v>
      </c>
      <c r="U40" s="12"/>
      <c r="V40" s="12"/>
      <c r="W40" s="12"/>
      <c r="X40" s="12"/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11</v>
      </c>
      <c r="F41" s="7" t="s">
        <v>12</v>
      </c>
      <c r="G41" s="8">
        <v>4.0</v>
      </c>
      <c r="H41" s="9">
        <v>18.0</v>
      </c>
      <c r="I41" s="10">
        <f t="shared" si="4"/>
        <v>13.33333333</v>
      </c>
      <c r="J41" s="11"/>
      <c r="P41" s="12" t="str">
        <f t="shared" si="3"/>
        <v>Netherlands</v>
      </c>
      <c r="Q41" s="12" t="s">
        <v>12</v>
      </c>
      <c r="R41" s="12" t="s">
        <v>13</v>
      </c>
      <c r="S41" s="12" t="s">
        <v>14</v>
      </c>
      <c r="T41" s="12"/>
      <c r="U41" s="12"/>
      <c r="V41" s="12"/>
      <c r="W41" s="12"/>
      <c r="X41" s="12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 t="s">
        <v>12</v>
      </c>
      <c r="G42" s="8">
        <v>6.0</v>
      </c>
      <c r="H42" s="9">
        <v>29.0</v>
      </c>
      <c r="I42" s="10">
        <f t="shared" si="4"/>
        <v>12.4137931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/>
      <c r="F43" s="7"/>
      <c r="G43" s="16"/>
      <c r="H43" s="14"/>
      <c r="I43" s="10" t="str">
        <f t="shared" si="4"/>
        <v/>
      </c>
      <c r="J43" s="11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 t="s">
        <v>11</v>
      </c>
      <c r="F44" s="7" t="s">
        <v>12</v>
      </c>
      <c r="G44" s="8">
        <v>7.0</v>
      </c>
      <c r="H44" s="9">
        <v>33.0</v>
      </c>
      <c r="I44" s="10">
        <f t="shared" si="4"/>
        <v>12.72727273</v>
      </c>
      <c r="J44" s="11"/>
      <c r="P44" s="12" t="str">
        <f t="shared" si="3"/>
        <v>Netherlands</v>
      </c>
      <c r="Q44" s="12" t="s">
        <v>12</v>
      </c>
      <c r="R44" s="12" t="s">
        <v>13</v>
      </c>
      <c r="S44" s="12" t="s">
        <v>14</v>
      </c>
      <c r="T44" s="12"/>
      <c r="U44" s="12"/>
      <c r="V44" s="12"/>
      <c r="W44" s="12"/>
      <c r="X44" s="12"/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11</v>
      </c>
      <c r="F47" s="7" t="s">
        <v>12</v>
      </c>
      <c r="G47" s="8">
        <v>8.0</v>
      </c>
      <c r="H47" s="9">
        <v>37.0</v>
      </c>
      <c r="I47" s="10">
        <f t="shared" si="4"/>
        <v>12.97297297</v>
      </c>
      <c r="J47" s="11"/>
      <c r="P47" s="12" t="str">
        <f t="shared" si="3"/>
        <v>Netherlands</v>
      </c>
      <c r="Q47" s="12" t="s">
        <v>12</v>
      </c>
      <c r="R47" s="12" t="s">
        <v>13</v>
      </c>
      <c r="S47" s="12" t="s">
        <v>14</v>
      </c>
      <c r="T47" s="12"/>
      <c r="U47" s="12"/>
      <c r="V47" s="12"/>
      <c r="W47" s="12"/>
      <c r="X47" s="12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11</v>
      </c>
      <c r="F48" s="7" t="s">
        <v>13</v>
      </c>
      <c r="G48" s="8">
        <v>8.0</v>
      </c>
      <c r="H48" s="9">
        <v>38.0</v>
      </c>
      <c r="I48" s="10">
        <f t="shared" si="4"/>
        <v>12.63157895</v>
      </c>
      <c r="J48" s="11"/>
      <c r="P48" s="12" t="str">
        <f t="shared" si="3"/>
        <v>Netherlands</v>
      </c>
      <c r="Q48" s="12" t="s">
        <v>12</v>
      </c>
      <c r="R48" s="12" t="s">
        <v>13</v>
      </c>
      <c r="S48" s="12" t="s">
        <v>14</v>
      </c>
      <c r="T48" s="12"/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11</v>
      </c>
      <c r="F49" s="7" t="s">
        <v>13</v>
      </c>
      <c r="G49" s="8">
        <v>4.0</v>
      </c>
      <c r="H49" s="9">
        <v>19.0</v>
      </c>
      <c r="I49" s="10">
        <f t="shared" si="4"/>
        <v>12.63157895</v>
      </c>
      <c r="J49" s="11"/>
      <c r="P49" s="12" t="str">
        <f t="shared" si="3"/>
        <v>Netherlands</v>
      </c>
      <c r="Q49" s="12" t="s">
        <v>12</v>
      </c>
      <c r="R49" s="12" t="s">
        <v>13</v>
      </c>
      <c r="S49" s="12" t="s">
        <v>14</v>
      </c>
      <c r="T49" s="12"/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si="4"/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4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 t="s">
        <v>11</v>
      </c>
      <c r="F8" s="7" t="s">
        <v>46</v>
      </c>
      <c r="G8" s="8">
        <v>8.0</v>
      </c>
      <c r="H8" s="14"/>
      <c r="I8" s="10" t="str">
        <f t="shared" si="4"/>
        <v/>
      </c>
      <c r="J8" s="11"/>
      <c r="P8" s="12" t="str">
        <f t="shared" si="3"/>
        <v>Netherlands</v>
      </c>
      <c r="Q8" s="12" t="s">
        <v>12</v>
      </c>
      <c r="R8" s="12" t="s">
        <v>13</v>
      </c>
      <c r="S8" s="12" t="s">
        <v>14</v>
      </c>
      <c r="T8" s="12"/>
      <c r="U8" s="12"/>
      <c r="V8" s="12"/>
      <c r="W8" s="12"/>
      <c r="X8" s="12"/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 t="s">
        <v>11</v>
      </c>
      <c r="F9" s="7" t="s">
        <v>46</v>
      </c>
      <c r="G9" s="8">
        <v>8.0</v>
      </c>
      <c r="H9" s="14"/>
      <c r="I9" s="10" t="str">
        <f t="shared" si="4"/>
        <v/>
      </c>
      <c r="J9" s="11"/>
      <c r="P9" s="12" t="str">
        <f t="shared" si="3"/>
        <v>Netherlands</v>
      </c>
      <c r="Q9" s="12" t="s">
        <v>12</v>
      </c>
      <c r="R9" s="12" t="s">
        <v>13</v>
      </c>
      <c r="S9" s="12" t="s">
        <v>14</v>
      </c>
      <c r="T9" s="12"/>
      <c r="U9" s="12"/>
      <c r="V9" s="12"/>
      <c r="W9" s="12"/>
      <c r="X9" s="12"/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 t="s">
        <v>11</v>
      </c>
      <c r="F10" s="7" t="s">
        <v>46</v>
      </c>
      <c r="G10" s="8">
        <v>4.0</v>
      </c>
      <c r="H10" s="14"/>
      <c r="I10" s="10" t="str">
        <f t="shared" si="4"/>
        <v/>
      </c>
      <c r="J10" s="11"/>
      <c r="P10" s="12" t="str">
        <f t="shared" si="3"/>
        <v>Netherlands</v>
      </c>
      <c r="Q10" s="12" t="s">
        <v>12</v>
      </c>
      <c r="R10" s="12" t="s">
        <v>13</v>
      </c>
      <c r="S10" s="12" t="s">
        <v>14</v>
      </c>
      <c r="T10" s="12"/>
      <c r="U10" s="12"/>
      <c r="V10" s="12"/>
      <c r="W10" s="12"/>
      <c r="X10" s="12"/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11</v>
      </c>
      <c r="F12" s="7" t="s">
        <v>46</v>
      </c>
      <c r="G12" s="8">
        <v>8.0</v>
      </c>
      <c r="H12" s="14"/>
      <c r="I12" s="10" t="str">
        <f t="shared" si="4"/>
        <v/>
      </c>
      <c r="J12" s="11"/>
      <c r="P12" s="12" t="str">
        <f t="shared" si="3"/>
        <v>Netherlands</v>
      </c>
      <c r="Q12" s="12" t="s">
        <v>12</v>
      </c>
      <c r="R12" s="12" t="s">
        <v>13</v>
      </c>
      <c r="S12" s="12" t="s">
        <v>14</v>
      </c>
      <c r="T12" s="12"/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11</v>
      </c>
      <c r="F13" s="7" t="s">
        <v>46</v>
      </c>
      <c r="G13" s="8">
        <v>8.0</v>
      </c>
      <c r="H13" s="14"/>
      <c r="I13" s="10" t="str">
        <f t="shared" si="4"/>
        <v/>
      </c>
      <c r="J13" s="11"/>
      <c r="P13" s="12" t="str">
        <f t="shared" si="3"/>
        <v>Netherlands</v>
      </c>
      <c r="Q13" s="12" t="s">
        <v>12</v>
      </c>
      <c r="R13" s="12" t="s">
        <v>13</v>
      </c>
      <c r="S13" s="12" t="s">
        <v>14</v>
      </c>
      <c r="T13" s="12"/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11</v>
      </c>
      <c r="F14" s="7" t="s">
        <v>13</v>
      </c>
      <c r="G14" s="8">
        <v>4.0</v>
      </c>
      <c r="H14" s="14"/>
      <c r="I14" s="10" t="str">
        <f t="shared" si="4"/>
        <v/>
      </c>
      <c r="J14" s="11"/>
      <c r="P14" s="12" t="str">
        <f t="shared" si="3"/>
        <v>Netherlands</v>
      </c>
      <c r="Q14" s="12" t="s">
        <v>12</v>
      </c>
      <c r="R14" s="12" t="s">
        <v>13</v>
      </c>
      <c r="S14" s="12" t="s">
        <v>14</v>
      </c>
      <c r="T14" s="12"/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11</v>
      </c>
      <c r="F20" s="7" t="s">
        <v>13</v>
      </c>
      <c r="G20" s="8">
        <v>8.0</v>
      </c>
      <c r="H20" s="9">
        <v>27.0</v>
      </c>
      <c r="I20" s="10">
        <f t="shared" si="4"/>
        <v>17.77777778</v>
      </c>
      <c r="J20" s="11"/>
      <c r="P20" s="12" t="str">
        <f t="shared" si="3"/>
        <v>Netherlands</v>
      </c>
      <c r="Q20" s="12" t="s">
        <v>12</v>
      </c>
      <c r="R20" s="12" t="s">
        <v>13</v>
      </c>
      <c r="S20" s="12" t="s">
        <v>14</v>
      </c>
      <c r="T20" s="12"/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11</v>
      </c>
      <c r="F21" s="7" t="s">
        <v>13</v>
      </c>
      <c r="G21" s="8">
        <v>8.0</v>
      </c>
      <c r="H21" s="9">
        <v>26.0</v>
      </c>
      <c r="I21" s="10">
        <f t="shared" si="4"/>
        <v>18.46153846</v>
      </c>
      <c r="J21" s="11"/>
      <c r="P21" s="12" t="str">
        <f t="shared" si="3"/>
        <v>Netherlands</v>
      </c>
      <c r="Q21" s="12" t="s">
        <v>12</v>
      </c>
      <c r="R21" s="12" t="s">
        <v>13</v>
      </c>
      <c r="S21" s="12" t="s">
        <v>14</v>
      </c>
      <c r="T21" s="12"/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11</v>
      </c>
      <c r="F22" s="7" t="s">
        <v>13</v>
      </c>
      <c r="G22" s="8">
        <v>4.0</v>
      </c>
      <c r="H22" s="9">
        <v>14.0</v>
      </c>
      <c r="I22" s="10">
        <f t="shared" si="4"/>
        <v>17.14285714</v>
      </c>
      <c r="J22" s="11"/>
      <c r="P22" s="12" t="str">
        <f t="shared" si="3"/>
        <v>Netherlands</v>
      </c>
      <c r="Q22" s="12" t="s">
        <v>12</v>
      </c>
      <c r="R22" s="12" t="s">
        <v>13</v>
      </c>
      <c r="S22" s="12" t="s">
        <v>14</v>
      </c>
      <c r="T22" s="12"/>
      <c r="U22" s="12"/>
      <c r="V22" s="12"/>
      <c r="W22" s="12"/>
      <c r="X22" s="12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11</v>
      </c>
      <c r="F27" s="7" t="s">
        <v>13</v>
      </c>
      <c r="G27" s="8">
        <v>8.0</v>
      </c>
      <c r="H27" s="9">
        <v>26.0</v>
      </c>
      <c r="I27" s="10">
        <f t="shared" si="4"/>
        <v>18.46153846</v>
      </c>
      <c r="J27" s="11"/>
      <c r="P27" s="12" t="str">
        <f t="shared" si="3"/>
        <v>Netherlands</v>
      </c>
      <c r="Q27" s="12" t="s">
        <v>12</v>
      </c>
      <c r="R27" s="12" t="s">
        <v>13</v>
      </c>
      <c r="S27" s="12" t="s">
        <v>14</v>
      </c>
      <c r="T27" s="12"/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16"/>
      <c r="H28" s="14"/>
      <c r="I28" s="10" t="str">
        <f t="shared" si="4"/>
        <v/>
      </c>
      <c r="J28" s="11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11</v>
      </c>
      <c r="F29" s="7" t="s">
        <v>13</v>
      </c>
      <c r="G29" s="8">
        <v>8.0</v>
      </c>
      <c r="H29" s="9">
        <v>25.0</v>
      </c>
      <c r="I29" s="10">
        <f t="shared" si="4"/>
        <v>19.2</v>
      </c>
      <c r="J29" s="11"/>
      <c r="P29" s="12" t="str">
        <f t="shared" si="3"/>
        <v>Netherlands</v>
      </c>
      <c r="Q29" s="12" t="s">
        <v>12</v>
      </c>
      <c r="R29" s="12" t="s">
        <v>13</v>
      </c>
      <c r="S29" s="12" t="s">
        <v>14</v>
      </c>
      <c r="T29" s="12"/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 t="s">
        <v>11</v>
      </c>
      <c r="F30" s="7" t="s">
        <v>13</v>
      </c>
      <c r="G30" s="8">
        <v>4.0</v>
      </c>
      <c r="H30" s="9">
        <v>15.0</v>
      </c>
      <c r="I30" s="10">
        <f t="shared" si="4"/>
        <v>16</v>
      </c>
      <c r="J30" s="11"/>
      <c r="P30" s="12" t="str">
        <f t="shared" si="3"/>
        <v>Netherlands</v>
      </c>
      <c r="Q30" s="12" t="s">
        <v>12</v>
      </c>
      <c r="R30" s="12" t="s">
        <v>13</v>
      </c>
      <c r="S30" s="12" t="s">
        <v>14</v>
      </c>
      <c r="T30" s="12"/>
      <c r="U30" s="12"/>
      <c r="V30" s="12"/>
      <c r="W30" s="12"/>
      <c r="X30" s="12"/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11</v>
      </c>
      <c r="F33" s="7" t="s">
        <v>13</v>
      </c>
      <c r="G33" s="8">
        <v>8.0</v>
      </c>
      <c r="H33" s="9">
        <v>25.0</v>
      </c>
      <c r="I33" s="10">
        <f t="shared" si="4"/>
        <v>19.2</v>
      </c>
      <c r="J33" s="11"/>
      <c r="P33" s="12" t="str">
        <f t="shared" si="3"/>
        <v>Netherlands</v>
      </c>
      <c r="Q33" s="12" t="s">
        <v>12</v>
      </c>
      <c r="R33" s="12" t="s">
        <v>13</v>
      </c>
      <c r="S33" s="12" t="s">
        <v>14</v>
      </c>
      <c r="T33" s="12"/>
      <c r="U33" s="12"/>
      <c r="V33" s="12"/>
      <c r="W33" s="12"/>
      <c r="X33" s="12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11</v>
      </c>
      <c r="F34" s="7" t="s">
        <v>13</v>
      </c>
      <c r="G34" s="8">
        <v>8.0</v>
      </c>
      <c r="H34" s="9">
        <v>24.0</v>
      </c>
      <c r="I34" s="10">
        <f t="shared" si="4"/>
        <v>20</v>
      </c>
      <c r="J34" s="11"/>
      <c r="P34" s="12" t="str">
        <f t="shared" si="3"/>
        <v>Netherlands</v>
      </c>
      <c r="Q34" s="12" t="s">
        <v>12</v>
      </c>
      <c r="R34" s="12" t="s">
        <v>13</v>
      </c>
      <c r="S34" s="12" t="s">
        <v>14</v>
      </c>
      <c r="T34" s="12"/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11</v>
      </c>
      <c r="F35" s="7" t="s">
        <v>13</v>
      </c>
      <c r="G35" s="8">
        <v>4.0</v>
      </c>
      <c r="H35" s="9">
        <v>15.0</v>
      </c>
      <c r="I35" s="10">
        <f t="shared" si="4"/>
        <v>16</v>
      </c>
      <c r="J35" s="11"/>
      <c r="P35" s="12" t="str">
        <f t="shared" si="3"/>
        <v>Netherlands</v>
      </c>
      <c r="Q35" s="12" t="s">
        <v>12</v>
      </c>
      <c r="R35" s="12" t="s">
        <v>13</v>
      </c>
      <c r="S35" s="12" t="s">
        <v>14</v>
      </c>
      <c r="T35" s="12"/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 t="s">
        <v>11</v>
      </c>
      <c r="F40" s="7" t="s">
        <v>13</v>
      </c>
      <c r="G40" s="8">
        <v>8.0</v>
      </c>
      <c r="H40" s="9">
        <v>25.0</v>
      </c>
      <c r="I40" s="10">
        <f t="shared" si="4"/>
        <v>19.2</v>
      </c>
      <c r="J40" s="11"/>
      <c r="P40" s="12" t="str">
        <f t="shared" si="3"/>
        <v>Netherlands</v>
      </c>
      <c r="Q40" s="12" t="s">
        <v>12</v>
      </c>
      <c r="R40" s="12" t="s">
        <v>13</v>
      </c>
      <c r="S40" s="12" t="s">
        <v>14</v>
      </c>
      <c r="T40" s="12"/>
      <c r="U40" s="12"/>
      <c r="V40" s="12"/>
      <c r="W40" s="12"/>
      <c r="X40" s="12"/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11</v>
      </c>
      <c r="F41" s="7" t="s">
        <v>13</v>
      </c>
      <c r="G41" s="8">
        <v>8.0</v>
      </c>
      <c r="H41" s="9">
        <v>24.0</v>
      </c>
      <c r="I41" s="10">
        <f t="shared" si="4"/>
        <v>20</v>
      </c>
      <c r="J41" s="11"/>
      <c r="P41" s="12" t="str">
        <f t="shared" si="3"/>
        <v>Netherlands</v>
      </c>
      <c r="Q41" s="12" t="s">
        <v>12</v>
      </c>
      <c r="R41" s="12" t="s">
        <v>13</v>
      </c>
      <c r="S41" s="12" t="s">
        <v>14</v>
      </c>
      <c r="T41" s="12"/>
      <c r="U41" s="12"/>
      <c r="V41" s="12"/>
      <c r="W41" s="12"/>
      <c r="X41" s="12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 t="s">
        <v>13</v>
      </c>
      <c r="G42" s="8">
        <v>4.0</v>
      </c>
      <c r="H42" s="9">
        <v>14.0</v>
      </c>
      <c r="I42" s="10">
        <f t="shared" si="4"/>
        <v>17.14285714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/>
      <c r="F43" s="7"/>
      <c r="G43" s="16"/>
      <c r="H43" s="14"/>
      <c r="I43" s="10" t="str">
        <f t="shared" si="4"/>
        <v/>
      </c>
      <c r="J43" s="11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/>
      <c r="F47" s="7"/>
      <c r="G47" s="16"/>
      <c r="H47" s="14"/>
      <c r="I47" s="10" t="str">
        <f t="shared" si="4"/>
        <v/>
      </c>
      <c r="J47" s="11"/>
      <c r="P47" s="12" t="str">
        <f t="shared" si="3"/>
        <v/>
      </c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/>
      <c r="F48" s="7"/>
      <c r="G48" s="16"/>
      <c r="H48" s="14"/>
      <c r="I48" s="10" t="str">
        <f t="shared" si="4"/>
        <v/>
      </c>
      <c r="J48" s="11"/>
      <c r="P48" s="12" t="str">
        <f t="shared" si="3"/>
        <v/>
      </c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/>
      <c r="F49" s="7"/>
      <c r="G49" s="16"/>
      <c r="H49" s="14"/>
      <c r="I49" s="10" t="str">
        <f t="shared" si="4"/>
        <v/>
      </c>
      <c r="J49" s="11"/>
      <c r="P49" s="12" t="str">
        <f t="shared" si="3"/>
        <v/>
      </c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38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3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17"/>
      <c r="G2" s="8"/>
      <c r="H2" s="9"/>
      <c r="I2" s="28" t="str">
        <f t="shared" ref="I2:I246" si="3">IFERROR((G2/H2)*60, "")</f>
        <v/>
      </c>
      <c r="J2" s="11"/>
      <c r="P2" s="12" t="str">
        <f t="shared" ref="P2:P246" si="4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17"/>
      <c r="G3" s="13"/>
      <c r="H3" s="14"/>
      <c r="I3" s="28" t="str">
        <f t="shared" si="3"/>
        <v/>
      </c>
      <c r="J3" s="11"/>
      <c r="P3" s="12" t="str">
        <f t="shared" si="4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17"/>
      <c r="G4" s="8"/>
      <c r="H4" s="14"/>
      <c r="I4" s="28" t="str">
        <f t="shared" si="3"/>
        <v/>
      </c>
      <c r="J4" s="11"/>
      <c r="P4" s="12" t="str">
        <f t="shared" si="4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21</v>
      </c>
      <c r="F5" s="7" t="s">
        <v>26</v>
      </c>
      <c r="G5" s="8">
        <v>8.0</v>
      </c>
      <c r="H5" s="14"/>
      <c r="I5" s="8" t="str">
        <f t="shared" si="3"/>
        <v/>
      </c>
      <c r="J5" s="11"/>
      <c r="P5" s="12" t="str">
        <f t="shared" si="4"/>
        <v>Audi Crossings QC</v>
      </c>
      <c r="Q5" s="12" t="s">
        <v>24</v>
      </c>
      <c r="R5" s="12" t="s">
        <v>25</v>
      </c>
      <c r="S5" s="12" t="s">
        <v>26</v>
      </c>
      <c r="T5" s="12" t="s">
        <v>27</v>
      </c>
      <c r="U5" s="12"/>
      <c r="V5" s="12"/>
      <c r="W5" s="12"/>
      <c r="X5" s="12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21</v>
      </c>
      <c r="F6" s="7" t="s">
        <v>26</v>
      </c>
      <c r="G6" s="8">
        <v>8.0</v>
      </c>
      <c r="H6" s="14"/>
      <c r="I6" s="28" t="str">
        <f t="shared" si="3"/>
        <v/>
      </c>
      <c r="J6" s="11"/>
      <c r="P6" s="12" t="str">
        <f t="shared" si="4"/>
        <v>Audi Crossings QC</v>
      </c>
      <c r="Q6" s="12" t="s">
        <v>24</v>
      </c>
      <c r="R6" s="12" t="s">
        <v>25</v>
      </c>
      <c r="S6" s="12" t="s">
        <v>26</v>
      </c>
      <c r="T6" s="12" t="s">
        <v>27</v>
      </c>
      <c r="U6" s="12"/>
      <c r="V6" s="12"/>
      <c r="W6" s="12"/>
      <c r="X6" s="12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21</v>
      </c>
      <c r="F7" s="7" t="s">
        <v>26</v>
      </c>
      <c r="G7" s="8">
        <v>4.0</v>
      </c>
      <c r="H7" s="14"/>
      <c r="I7" s="28" t="str">
        <f t="shared" si="3"/>
        <v/>
      </c>
      <c r="J7" s="11"/>
      <c r="P7" s="12" t="str">
        <f t="shared" si="4"/>
        <v>Audi Crossings QC</v>
      </c>
      <c r="Q7" s="12" t="s">
        <v>24</v>
      </c>
      <c r="R7" s="12" t="s">
        <v>25</v>
      </c>
      <c r="S7" s="12" t="s">
        <v>26</v>
      </c>
      <c r="T7" s="12" t="s">
        <v>27</v>
      </c>
      <c r="U7" s="12"/>
      <c r="V7" s="12"/>
      <c r="W7" s="12"/>
      <c r="X7" s="12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17"/>
      <c r="G8" s="13"/>
      <c r="H8" s="14"/>
      <c r="I8" s="28" t="str">
        <f t="shared" si="3"/>
        <v/>
      </c>
      <c r="J8" s="11"/>
      <c r="P8" s="12" t="str">
        <f t="shared" si="4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17"/>
      <c r="G9" s="13"/>
      <c r="H9" s="14"/>
      <c r="I9" s="28" t="str">
        <f t="shared" si="3"/>
        <v/>
      </c>
      <c r="J9" s="11"/>
      <c r="P9" s="12" t="str">
        <f t="shared" si="4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17"/>
      <c r="G10" s="16"/>
      <c r="H10" s="14"/>
      <c r="I10" s="28" t="str">
        <f t="shared" si="3"/>
        <v/>
      </c>
      <c r="J10" s="11"/>
      <c r="P10" s="12" t="str">
        <f t="shared" si="4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17"/>
      <c r="G11" s="16"/>
      <c r="H11" s="14"/>
      <c r="I11" s="28" t="str">
        <f t="shared" si="3"/>
        <v/>
      </c>
      <c r="J11" s="11"/>
      <c r="P11" s="12" t="str">
        <f t="shared" si="4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21</v>
      </c>
      <c r="F12" s="7" t="s">
        <v>26</v>
      </c>
      <c r="G12" s="8">
        <v>8.0</v>
      </c>
      <c r="H12" s="14"/>
      <c r="I12" s="28" t="str">
        <f t="shared" si="3"/>
        <v/>
      </c>
      <c r="J12" s="11"/>
      <c r="P12" s="12" t="str">
        <f t="shared" si="4"/>
        <v>Audi Crossings QC</v>
      </c>
      <c r="Q12" s="12" t="s">
        <v>24</v>
      </c>
      <c r="R12" s="12" t="s">
        <v>25</v>
      </c>
      <c r="S12" s="12" t="s">
        <v>26</v>
      </c>
      <c r="T12" s="12" t="s">
        <v>27</v>
      </c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21</v>
      </c>
      <c r="F13" s="7" t="s">
        <v>26</v>
      </c>
      <c r="G13" s="8">
        <v>8.0</v>
      </c>
      <c r="H13" s="14"/>
      <c r="I13" s="28" t="str">
        <f t="shared" si="3"/>
        <v/>
      </c>
      <c r="J13" s="11"/>
      <c r="P13" s="12" t="str">
        <f t="shared" si="4"/>
        <v>Audi Crossings QC</v>
      </c>
      <c r="Q13" s="12" t="s">
        <v>24</v>
      </c>
      <c r="R13" s="12" t="s">
        <v>25</v>
      </c>
      <c r="S13" s="12" t="s">
        <v>26</v>
      </c>
      <c r="T13" s="12" t="s">
        <v>27</v>
      </c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21</v>
      </c>
      <c r="F14" s="7" t="s">
        <v>26</v>
      </c>
      <c r="G14" s="8">
        <v>4.0</v>
      </c>
      <c r="H14" s="14"/>
      <c r="I14" s="28" t="str">
        <f t="shared" si="3"/>
        <v/>
      </c>
      <c r="J14" s="11"/>
      <c r="P14" s="12" t="str">
        <f t="shared" si="4"/>
        <v>Audi Crossings QC</v>
      </c>
      <c r="Q14" s="12" t="s">
        <v>24</v>
      </c>
      <c r="R14" s="12" t="s">
        <v>25</v>
      </c>
      <c r="S14" s="12" t="s">
        <v>26</v>
      </c>
      <c r="T14" s="12" t="s">
        <v>27</v>
      </c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17"/>
      <c r="G15" s="16"/>
      <c r="H15" s="14"/>
      <c r="I15" s="28" t="str">
        <f t="shared" si="3"/>
        <v/>
      </c>
      <c r="J15" s="11"/>
      <c r="P15" s="12" t="str">
        <f t="shared" si="4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17"/>
      <c r="G16" s="16"/>
      <c r="H16" s="14"/>
      <c r="I16" s="28" t="str">
        <f t="shared" si="3"/>
        <v/>
      </c>
      <c r="J16" s="11"/>
      <c r="P16" s="12" t="str">
        <f t="shared" si="4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17"/>
      <c r="G17" s="16"/>
      <c r="H17" s="14"/>
      <c r="I17" s="28" t="str">
        <f t="shared" si="3"/>
        <v/>
      </c>
      <c r="J17" s="11"/>
      <c r="P17" s="12" t="str">
        <f t="shared" si="4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17"/>
      <c r="G18" s="16"/>
      <c r="H18" s="14"/>
      <c r="I18" s="28" t="str">
        <f t="shared" si="3"/>
        <v/>
      </c>
      <c r="J18" s="11"/>
      <c r="P18" s="12" t="str">
        <f t="shared" si="4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21</v>
      </c>
      <c r="F19" s="7" t="s">
        <v>26</v>
      </c>
      <c r="G19" s="8">
        <v>8.0</v>
      </c>
      <c r="H19" s="14"/>
      <c r="I19" s="28" t="str">
        <f t="shared" si="3"/>
        <v/>
      </c>
      <c r="J19" s="11"/>
      <c r="P19" s="12" t="str">
        <f t="shared" si="4"/>
        <v>Audi Crossings QC</v>
      </c>
      <c r="Q19" s="12" t="s">
        <v>24</v>
      </c>
      <c r="R19" s="12" t="s">
        <v>25</v>
      </c>
      <c r="S19" s="12" t="s">
        <v>26</v>
      </c>
      <c r="T19" s="12" t="s">
        <v>27</v>
      </c>
      <c r="U19" s="12"/>
      <c r="V19" s="12"/>
      <c r="W19" s="12"/>
      <c r="X19" s="12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21</v>
      </c>
      <c r="F20" s="7" t="s">
        <v>26</v>
      </c>
      <c r="G20" s="8">
        <v>8.0</v>
      </c>
      <c r="H20" s="14"/>
      <c r="I20" s="28" t="str">
        <f t="shared" si="3"/>
        <v/>
      </c>
      <c r="J20" s="11"/>
      <c r="P20" s="12" t="str">
        <f t="shared" si="4"/>
        <v>Audi Crossings QC</v>
      </c>
      <c r="Q20" s="12" t="s">
        <v>24</v>
      </c>
      <c r="R20" s="12" t="s">
        <v>25</v>
      </c>
      <c r="S20" s="12" t="s">
        <v>26</v>
      </c>
      <c r="T20" s="12" t="s">
        <v>27</v>
      </c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21</v>
      </c>
      <c r="F21" s="7" t="s">
        <v>26</v>
      </c>
      <c r="G21" s="8">
        <v>4.0</v>
      </c>
      <c r="H21" s="14"/>
      <c r="I21" s="28" t="str">
        <f t="shared" si="3"/>
        <v/>
      </c>
      <c r="J21" s="11"/>
      <c r="P21" s="12" t="str">
        <f t="shared" si="4"/>
        <v>Audi Crossings QC</v>
      </c>
      <c r="Q21" s="12" t="s">
        <v>24</v>
      </c>
      <c r="R21" s="12" t="s">
        <v>25</v>
      </c>
      <c r="S21" s="12" t="s">
        <v>26</v>
      </c>
      <c r="T21" s="12" t="s">
        <v>27</v>
      </c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17"/>
      <c r="G22" s="16"/>
      <c r="H22" s="14"/>
      <c r="I22" s="28" t="str">
        <f t="shared" si="3"/>
        <v/>
      </c>
      <c r="J22" s="11"/>
      <c r="P22" s="12" t="str">
        <f t="shared" si="4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17"/>
      <c r="G23" s="16"/>
      <c r="H23" s="14"/>
      <c r="I23" s="28" t="str">
        <f t="shared" si="3"/>
        <v/>
      </c>
      <c r="J23" s="11"/>
      <c r="P23" s="12" t="str">
        <f t="shared" si="4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17"/>
      <c r="G24" s="16"/>
      <c r="H24" s="14"/>
      <c r="I24" s="28" t="str">
        <f t="shared" si="3"/>
        <v/>
      </c>
      <c r="J24" s="11"/>
      <c r="P24" s="12" t="str">
        <f t="shared" si="4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17"/>
      <c r="G25" s="16"/>
      <c r="H25" s="14"/>
      <c r="I25" s="28" t="str">
        <f t="shared" si="3"/>
        <v/>
      </c>
      <c r="J25" s="11"/>
      <c r="P25" s="12" t="str">
        <f t="shared" si="4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17"/>
      <c r="G26" s="16"/>
      <c r="H26" s="14"/>
      <c r="I26" s="28" t="str">
        <f t="shared" si="3"/>
        <v/>
      </c>
      <c r="J26" s="11"/>
      <c r="P26" s="12" t="str">
        <f t="shared" si="4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21</v>
      </c>
      <c r="F27" s="7" t="s">
        <v>26</v>
      </c>
      <c r="G27" s="8">
        <v>8.0</v>
      </c>
      <c r="H27" s="9">
        <v>52.0</v>
      </c>
      <c r="I27" s="8">
        <f t="shared" si="3"/>
        <v>9.230769231</v>
      </c>
      <c r="J27" s="11"/>
      <c r="P27" s="12" t="str">
        <f t="shared" si="4"/>
        <v>Audi Crossings QC</v>
      </c>
      <c r="Q27" s="12" t="s">
        <v>24</v>
      </c>
      <c r="R27" s="12" t="s">
        <v>25</v>
      </c>
      <c r="S27" s="12" t="s">
        <v>26</v>
      </c>
      <c r="T27" s="12" t="s">
        <v>27</v>
      </c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21</v>
      </c>
      <c r="F28" s="7" t="s">
        <v>26</v>
      </c>
      <c r="G28" s="8">
        <v>8.0</v>
      </c>
      <c r="H28" s="9">
        <v>53.0</v>
      </c>
      <c r="I28" s="28">
        <f t="shared" si="3"/>
        <v>9.056603774</v>
      </c>
      <c r="J28" s="11"/>
      <c r="P28" s="12" t="str">
        <f t="shared" si="4"/>
        <v>Audi Crossings QC</v>
      </c>
      <c r="Q28" s="12" t="s">
        <v>24</v>
      </c>
      <c r="R28" s="12" t="s">
        <v>25</v>
      </c>
      <c r="S28" s="12" t="s">
        <v>26</v>
      </c>
      <c r="T28" s="12" t="s">
        <v>27</v>
      </c>
      <c r="U28" s="12"/>
      <c r="V28" s="12"/>
      <c r="W28" s="12"/>
      <c r="X28" s="12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21</v>
      </c>
      <c r="F29" s="7" t="s">
        <v>26</v>
      </c>
      <c r="G29" s="8">
        <v>4.0</v>
      </c>
      <c r="H29" s="9">
        <v>25.0</v>
      </c>
      <c r="I29" s="28">
        <f t="shared" si="3"/>
        <v>9.6</v>
      </c>
      <c r="J29" s="11"/>
      <c r="P29" s="12" t="str">
        <f t="shared" si="4"/>
        <v>Audi Crossings QC</v>
      </c>
      <c r="Q29" s="12" t="s">
        <v>24</v>
      </c>
      <c r="R29" s="12" t="s">
        <v>25</v>
      </c>
      <c r="S29" s="12" t="s">
        <v>26</v>
      </c>
      <c r="T29" s="12" t="s">
        <v>27</v>
      </c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17"/>
      <c r="G30" s="16"/>
      <c r="H30" s="14"/>
      <c r="I30" s="28" t="str">
        <f t="shared" si="3"/>
        <v/>
      </c>
      <c r="J30" s="11"/>
      <c r="P30" s="12" t="str">
        <f t="shared" si="4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17"/>
      <c r="G31" s="16"/>
      <c r="H31" s="14"/>
      <c r="I31" s="28" t="str">
        <f t="shared" si="3"/>
        <v/>
      </c>
      <c r="J31" s="11"/>
      <c r="P31" s="12" t="str">
        <f t="shared" si="4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17"/>
      <c r="G32" s="16"/>
      <c r="H32" s="14"/>
      <c r="I32" s="28" t="str">
        <f t="shared" si="3"/>
        <v/>
      </c>
      <c r="J32" s="11"/>
      <c r="P32" s="12" t="str">
        <f t="shared" si="4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21</v>
      </c>
      <c r="F33" s="7" t="s">
        <v>26</v>
      </c>
      <c r="G33" s="8">
        <v>8.0</v>
      </c>
      <c r="H33" s="9">
        <v>53.0</v>
      </c>
      <c r="I33" s="28">
        <f t="shared" si="3"/>
        <v>9.056603774</v>
      </c>
      <c r="J33" s="11"/>
      <c r="P33" s="12" t="str">
        <f t="shared" si="4"/>
        <v>Audi Crossings QC</v>
      </c>
      <c r="Q33" s="12" t="s">
        <v>24</v>
      </c>
      <c r="R33" s="12" t="s">
        <v>25</v>
      </c>
      <c r="S33" s="12" t="s">
        <v>26</v>
      </c>
      <c r="T33" s="12" t="s">
        <v>27</v>
      </c>
      <c r="U33" s="12"/>
      <c r="V33" s="12"/>
      <c r="W33" s="12"/>
      <c r="X33" s="12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21</v>
      </c>
      <c r="F34" s="7" t="s">
        <v>26</v>
      </c>
      <c r="G34" s="8">
        <v>8.0</v>
      </c>
      <c r="H34" s="9">
        <v>55.0</v>
      </c>
      <c r="I34" s="28">
        <f t="shared" si="3"/>
        <v>8.727272727</v>
      </c>
      <c r="J34" s="11"/>
      <c r="P34" s="12" t="str">
        <f t="shared" si="4"/>
        <v>Audi Crossings QC</v>
      </c>
      <c r="Q34" s="12" t="s">
        <v>24</v>
      </c>
      <c r="R34" s="12" t="s">
        <v>25</v>
      </c>
      <c r="S34" s="12" t="s">
        <v>26</v>
      </c>
      <c r="T34" s="12" t="s">
        <v>27</v>
      </c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21</v>
      </c>
      <c r="F35" s="7" t="s">
        <v>26</v>
      </c>
      <c r="G35" s="8">
        <v>4.0</v>
      </c>
      <c r="H35" s="9">
        <v>31.0</v>
      </c>
      <c r="I35" s="28">
        <f t="shared" si="3"/>
        <v>7.741935484</v>
      </c>
      <c r="J35" s="11"/>
      <c r="P35" s="12" t="str">
        <f t="shared" si="4"/>
        <v>Audi Crossings QC</v>
      </c>
      <c r="Q35" s="12" t="s">
        <v>24</v>
      </c>
      <c r="R35" s="12" t="s">
        <v>25</v>
      </c>
      <c r="S35" s="12" t="s">
        <v>26</v>
      </c>
      <c r="T35" s="12" t="s">
        <v>27</v>
      </c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17"/>
      <c r="G36" s="16"/>
      <c r="H36" s="14"/>
      <c r="I36" s="28" t="str">
        <f t="shared" si="3"/>
        <v/>
      </c>
      <c r="J36" s="11"/>
      <c r="P36" s="12" t="str">
        <f t="shared" si="4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17"/>
      <c r="G37" s="16"/>
      <c r="H37" s="14"/>
      <c r="I37" s="28" t="str">
        <f t="shared" si="3"/>
        <v/>
      </c>
      <c r="J37" s="11"/>
      <c r="P37" s="12" t="str">
        <f t="shared" si="4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17"/>
      <c r="G38" s="16"/>
      <c r="H38" s="14"/>
      <c r="I38" s="28" t="str">
        <f t="shared" si="3"/>
        <v/>
      </c>
      <c r="J38" s="11"/>
      <c r="P38" s="12" t="str">
        <f t="shared" si="4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17"/>
      <c r="G39" s="16"/>
      <c r="H39" s="14"/>
      <c r="I39" s="28" t="str">
        <f t="shared" si="3"/>
        <v/>
      </c>
      <c r="J39" s="11"/>
      <c r="P39" s="12" t="str">
        <f t="shared" si="4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17"/>
      <c r="G40" s="16"/>
      <c r="H40" s="14"/>
      <c r="I40" s="28" t="str">
        <f t="shared" si="3"/>
        <v/>
      </c>
      <c r="J40" s="11"/>
      <c r="P40" s="12" t="str">
        <f t="shared" si="4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21</v>
      </c>
      <c r="F41" s="7" t="s">
        <v>26</v>
      </c>
      <c r="G41" s="8">
        <v>8.0</v>
      </c>
      <c r="H41" s="9">
        <v>49.0</v>
      </c>
      <c r="I41" s="28">
        <f t="shared" si="3"/>
        <v>9.795918367</v>
      </c>
      <c r="J41" s="11"/>
      <c r="P41" s="12" t="str">
        <f t="shared" si="4"/>
        <v>Audi Crossings QC</v>
      </c>
      <c r="Q41" s="12" t="s">
        <v>24</v>
      </c>
      <c r="R41" s="12" t="s">
        <v>25</v>
      </c>
      <c r="S41" s="12" t="s">
        <v>26</v>
      </c>
      <c r="T41" s="12" t="s">
        <v>27</v>
      </c>
      <c r="U41" s="12"/>
      <c r="V41" s="12"/>
      <c r="W41" s="12"/>
      <c r="X41" s="12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21</v>
      </c>
      <c r="F42" s="7" t="s">
        <v>26</v>
      </c>
      <c r="G42" s="8">
        <v>8.0</v>
      </c>
      <c r="H42" s="9">
        <v>42.0</v>
      </c>
      <c r="I42" s="28">
        <f t="shared" si="3"/>
        <v>11.42857143</v>
      </c>
      <c r="J42" s="11"/>
      <c r="P42" s="12" t="str">
        <f t="shared" si="4"/>
        <v>Audi Crossings QC</v>
      </c>
      <c r="Q42" s="12" t="s">
        <v>24</v>
      </c>
      <c r="R42" s="12" t="s">
        <v>25</v>
      </c>
      <c r="S42" s="12" t="s">
        <v>26</v>
      </c>
      <c r="T42" s="12" t="s">
        <v>27</v>
      </c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21</v>
      </c>
      <c r="F43" s="7" t="s">
        <v>26</v>
      </c>
      <c r="G43" s="8">
        <v>4.0</v>
      </c>
      <c r="H43" s="9">
        <v>26.0</v>
      </c>
      <c r="I43" s="28">
        <f t="shared" si="3"/>
        <v>9.230769231</v>
      </c>
      <c r="J43" s="11"/>
      <c r="P43" s="12" t="str">
        <f t="shared" si="4"/>
        <v>Audi Crossings QC</v>
      </c>
      <c r="Q43" s="12" t="s">
        <v>24</v>
      </c>
      <c r="R43" s="12" t="s">
        <v>25</v>
      </c>
      <c r="S43" s="12" t="s">
        <v>26</v>
      </c>
      <c r="T43" s="12" t="s">
        <v>27</v>
      </c>
      <c r="U43" s="12"/>
      <c r="V43" s="12"/>
      <c r="W43" s="12"/>
      <c r="X43" s="12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17"/>
      <c r="G44" s="16"/>
      <c r="H44" s="14"/>
      <c r="I44" s="28" t="str">
        <f t="shared" si="3"/>
        <v/>
      </c>
      <c r="J44" s="11"/>
      <c r="P44" s="12" t="str">
        <f t="shared" si="4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17"/>
      <c r="G45" s="16"/>
      <c r="H45" s="14"/>
      <c r="I45" s="28" t="str">
        <f t="shared" si="3"/>
        <v/>
      </c>
      <c r="J45" s="11"/>
      <c r="P45" s="12" t="str">
        <f t="shared" si="4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17"/>
      <c r="G46" s="16"/>
      <c r="H46" s="14"/>
      <c r="I46" s="28" t="str">
        <f t="shared" si="3"/>
        <v/>
      </c>
      <c r="J46" s="11"/>
      <c r="P46" s="12" t="str">
        <f t="shared" si="4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21</v>
      </c>
      <c r="F47" s="7" t="s">
        <v>26</v>
      </c>
      <c r="G47" s="8">
        <v>8.0</v>
      </c>
      <c r="H47" s="9">
        <v>40.0</v>
      </c>
      <c r="I47" s="28">
        <f t="shared" si="3"/>
        <v>12</v>
      </c>
      <c r="J47" s="11"/>
      <c r="P47" s="12" t="str">
        <f t="shared" si="4"/>
        <v>Audi Crossings QC</v>
      </c>
      <c r="Q47" s="12" t="s">
        <v>24</v>
      </c>
      <c r="R47" s="12" t="s">
        <v>25</v>
      </c>
      <c r="S47" s="12" t="s">
        <v>26</v>
      </c>
      <c r="T47" s="12" t="s">
        <v>27</v>
      </c>
      <c r="U47" s="12"/>
      <c r="V47" s="12"/>
      <c r="W47" s="12"/>
      <c r="X47" s="12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21</v>
      </c>
      <c r="F48" s="7" t="s">
        <v>26</v>
      </c>
      <c r="G48" s="8">
        <v>8.0</v>
      </c>
      <c r="H48" s="9">
        <v>41.0</v>
      </c>
      <c r="I48" s="28">
        <f t="shared" si="3"/>
        <v>11.70731707</v>
      </c>
      <c r="J48" s="11"/>
      <c r="P48" s="12" t="str">
        <f t="shared" si="4"/>
        <v>Audi Crossings QC</v>
      </c>
      <c r="Q48" s="12" t="s">
        <v>24</v>
      </c>
      <c r="R48" s="12" t="s">
        <v>25</v>
      </c>
      <c r="S48" s="12" t="s">
        <v>26</v>
      </c>
      <c r="T48" s="12" t="s">
        <v>27</v>
      </c>
      <c r="U48" s="12"/>
      <c r="V48" s="12"/>
      <c r="W48" s="12"/>
      <c r="X48" s="12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21</v>
      </c>
      <c r="F49" s="7" t="s">
        <v>26</v>
      </c>
      <c r="G49" s="8">
        <v>4.0</v>
      </c>
      <c r="H49" s="9">
        <v>21.0</v>
      </c>
      <c r="I49" s="28">
        <f t="shared" si="3"/>
        <v>11.42857143</v>
      </c>
      <c r="J49" s="11"/>
      <c r="P49" s="12" t="str">
        <f t="shared" si="4"/>
        <v>Audi Crossings QC</v>
      </c>
      <c r="Q49" s="12" t="s">
        <v>24</v>
      </c>
      <c r="R49" s="12" t="s">
        <v>25</v>
      </c>
      <c r="S49" s="12" t="s">
        <v>26</v>
      </c>
      <c r="T49" s="12" t="s">
        <v>27</v>
      </c>
      <c r="U49" s="12"/>
      <c r="V49" s="12"/>
      <c r="W49" s="12"/>
      <c r="X49" s="12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17"/>
      <c r="G50" s="16"/>
      <c r="H50" s="14"/>
      <c r="I50" s="28" t="str">
        <f t="shared" si="3"/>
        <v/>
      </c>
      <c r="J50" s="11"/>
      <c r="P50" s="12" t="str">
        <f t="shared" si="4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17"/>
      <c r="G51" s="16"/>
      <c r="H51" s="14"/>
      <c r="I51" s="28" t="str">
        <f t="shared" si="3"/>
        <v/>
      </c>
      <c r="J51" s="11"/>
      <c r="P51" s="12" t="str">
        <f t="shared" si="4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17"/>
      <c r="G52" s="16"/>
      <c r="H52" s="14"/>
      <c r="I52" s="28" t="str">
        <f t="shared" si="3"/>
        <v/>
      </c>
      <c r="J52" s="11"/>
      <c r="P52" s="12" t="str">
        <f t="shared" si="4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17"/>
      <c r="G53" s="16"/>
      <c r="H53" s="14"/>
      <c r="I53" s="28" t="str">
        <f t="shared" si="3"/>
        <v/>
      </c>
      <c r="J53" s="11"/>
      <c r="P53" s="12" t="str">
        <f t="shared" si="4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21</v>
      </c>
      <c r="F54" s="7" t="s">
        <v>26</v>
      </c>
      <c r="G54" s="8">
        <v>10.0</v>
      </c>
      <c r="H54" s="9">
        <v>41.0</v>
      </c>
      <c r="I54" s="28">
        <f t="shared" si="3"/>
        <v>14.63414634</v>
      </c>
      <c r="J54" s="11"/>
      <c r="P54" s="12" t="str">
        <f t="shared" si="4"/>
        <v>Audi Crossings QC</v>
      </c>
      <c r="Q54" s="12" t="s">
        <v>24</v>
      </c>
      <c r="R54" s="12" t="s">
        <v>25</v>
      </c>
      <c r="S54" s="12" t="s">
        <v>26</v>
      </c>
      <c r="T54" s="12" t="s">
        <v>27</v>
      </c>
      <c r="U54" s="12"/>
      <c r="V54" s="12"/>
      <c r="W54" s="12"/>
      <c r="X54" s="12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17"/>
      <c r="G55" s="16"/>
      <c r="H55" s="14"/>
      <c r="I55" s="28" t="str">
        <f t="shared" si="3"/>
        <v/>
      </c>
      <c r="J55" s="11"/>
      <c r="P55" s="12" t="str">
        <f t="shared" si="4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28" t="str">
        <f t="shared" si="3"/>
        <v/>
      </c>
      <c r="J56" s="11"/>
      <c r="P56" s="12" t="str">
        <f t="shared" si="4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 t="s">
        <v>21</v>
      </c>
      <c r="F57" s="7" t="s">
        <v>26</v>
      </c>
      <c r="G57" s="8"/>
      <c r="H57" s="14"/>
      <c r="I57" s="28" t="str">
        <f t="shared" si="3"/>
        <v/>
      </c>
      <c r="J57" s="11"/>
      <c r="P57" s="12" t="str">
        <f t="shared" si="4"/>
        <v>Audi Crossings QC</v>
      </c>
      <c r="Q57" s="12" t="s">
        <v>24</v>
      </c>
      <c r="R57" s="12" t="s">
        <v>25</v>
      </c>
      <c r="S57" s="12" t="s">
        <v>26</v>
      </c>
      <c r="T57" s="12" t="s">
        <v>27</v>
      </c>
      <c r="U57" s="12"/>
      <c r="V57" s="12"/>
      <c r="W57" s="12"/>
      <c r="X57" s="12"/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17"/>
      <c r="G58" s="16"/>
      <c r="H58" s="14"/>
      <c r="I58" s="28" t="str">
        <f t="shared" si="3"/>
        <v/>
      </c>
      <c r="J58" s="11"/>
      <c r="P58" s="12" t="str">
        <f t="shared" si="4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17"/>
      <c r="G59" s="16"/>
      <c r="H59" s="14"/>
      <c r="I59" s="28" t="str">
        <f t="shared" si="3"/>
        <v/>
      </c>
      <c r="J59" s="11"/>
      <c r="P59" s="12" t="str">
        <f t="shared" si="4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17"/>
      <c r="G60" s="16"/>
      <c r="H60" s="14"/>
      <c r="I60" s="28" t="str">
        <f t="shared" si="3"/>
        <v/>
      </c>
      <c r="J60" s="11"/>
      <c r="P60" s="12" t="str">
        <f t="shared" si="4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17"/>
      <c r="G61" s="16"/>
      <c r="H61" s="14"/>
      <c r="I61" s="28" t="str">
        <f t="shared" si="3"/>
        <v/>
      </c>
      <c r="J61" s="11"/>
      <c r="P61" s="12" t="str">
        <f t="shared" si="4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17"/>
      <c r="G62" s="16"/>
      <c r="H62" s="14"/>
      <c r="I62" s="28" t="str">
        <f t="shared" si="3"/>
        <v/>
      </c>
      <c r="J62" s="11"/>
      <c r="P62" s="12" t="str">
        <f t="shared" si="4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17"/>
      <c r="G63" s="16"/>
      <c r="H63" s="14"/>
      <c r="I63" s="28" t="str">
        <f t="shared" si="3"/>
        <v/>
      </c>
      <c r="J63" s="11"/>
      <c r="P63" s="12" t="str">
        <f t="shared" si="4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17"/>
      <c r="G64" s="16"/>
      <c r="H64" s="14"/>
      <c r="I64" s="28" t="str">
        <f t="shared" si="3"/>
        <v/>
      </c>
      <c r="J64" s="11"/>
      <c r="P64" s="12" t="str">
        <f t="shared" si="4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17"/>
      <c r="G65" s="16"/>
      <c r="H65" s="14"/>
      <c r="I65" s="28" t="str">
        <f t="shared" si="3"/>
        <v/>
      </c>
      <c r="J65" s="11"/>
      <c r="P65" s="12" t="str">
        <f t="shared" si="4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17"/>
      <c r="G66" s="16"/>
      <c r="H66" s="14"/>
      <c r="I66" s="28" t="str">
        <f t="shared" si="3"/>
        <v/>
      </c>
      <c r="J66" s="11"/>
      <c r="P66" s="12" t="str">
        <f t="shared" si="4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17"/>
      <c r="G67" s="16"/>
      <c r="H67" s="14"/>
      <c r="I67" s="28" t="str">
        <f t="shared" si="3"/>
        <v/>
      </c>
      <c r="J67" s="11"/>
      <c r="P67" s="12" t="str">
        <f t="shared" si="4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17"/>
      <c r="G68" s="16"/>
      <c r="H68" s="14"/>
      <c r="I68" s="28" t="str">
        <f t="shared" si="3"/>
        <v/>
      </c>
      <c r="J68" s="11"/>
      <c r="P68" s="12" t="str">
        <f t="shared" si="4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17"/>
      <c r="G69" s="16"/>
      <c r="H69" s="14"/>
      <c r="I69" s="28" t="str">
        <f t="shared" si="3"/>
        <v/>
      </c>
      <c r="J69" s="11"/>
      <c r="P69" s="12" t="str">
        <f t="shared" si="4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17"/>
      <c r="G70" s="16"/>
      <c r="H70" s="14"/>
      <c r="I70" s="28" t="str">
        <f t="shared" si="3"/>
        <v/>
      </c>
      <c r="J70" s="11"/>
      <c r="P70" s="12" t="str">
        <f t="shared" si="4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17"/>
      <c r="G71" s="16"/>
      <c r="H71" s="14"/>
      <c r="I71" s="28" t="str">
        <f t="shared" si="3"/>
        <v/>
      </c>
      <c r="J71" s="11"/>
      <c r="P71" s="12" t="str">
        <f t="shared" si="4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17"/>
      <c r="G72" s="16"/>
      <c r="H72" s="14"/>
      <c r="I72" s="28" t="str">
        <f t="shared" si="3"/>
        <v/>
      </c>
      <c r="J72" s="11"/>
      <c r="P72" s="12" t="str">
        <f t="shared" si="4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17"/>
      <c r="G73" s="16"/>
      <c r="H73" s="14"/>
      <c r="I73" s="28" t="str">
        <f t="shared" si="3"/>
        <v/>
      </c>
      <c r="J73" s="11"/>
      <c r="P73" s="12" t="str">
        <f t="shared" si="4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17"/>
      <c r="G74" s="16"/>
      <c r="H74" s="14"/>
      <c r="I74" s="28" t="str">
        <f t="shared" si="3"/>
        <v/>
      </c>
      <c r="J74" s="11"/>
      <c r="P74" s="12" t="str">
        <f t="shared" si="4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17"/>
      <c r="G75" s="16"/>
      <c r="H75" s="14"/>
      <c r="I75" s="28" t="str">
        <f t="shared" si="3"/>
        <v/>
      </c>
      <c r="J75" s="11"/>
      <c r="P75" s="12" t="str">
        <f t="shared" si="4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17"/>
      <c r="G76" s="16"/>
      <c r="H76" s="14"/>
      <c r="I76" s="28" t="str">
        <f t="shared" si="3"/>
        <v/>
      </c>
      <c r="J76" s="11"/>
      <c r="P76" s="12" t="str">
        <f t="shared" si="4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17"/>
      <c r="G77" s="16"/>
      <c r="H77" s="14"/>
      <c r="I77" s="28" t="str">
        <f t="shared" si="3"/>
        <v/>
      </c>
      <c r="J77" s="11"/>
      <c r="P77" s="12" t="str">
        <f t="shared" si="4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17"/>
      <c r="G78" s="16"/>
      <c r="H78" s="14"/>
      <c r="I78" s="28" t="str">
        <f t="shared" si="3"/>
        <v/>
      </c>
      <c r="J78" s="11"/>
      <c r="P78" s="12" t="str">
        <f t="shared" si="4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17"/>
      <c r="G79" s="16"/>
      <c r="H79" s="14"/>
      <c r="I79" s="28" t="str">
        <f t="shared" si="3"/>
        <v/>
      </c>
      <c r="J79" s="11"/>
      <c r="P79" s="12" t="str">
        <f t="shared" si="4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17"/>
      <c r="G80" s="16"/>
      <c r="H80" s="14"/>
      <c r="I80" s="28" t="str">
        <f t="shared" si="3"/>
        <v/>
      </c>
      <c r="J80" s="11"/>
      <c r="P80" s="12" t="str">
        <f t="shared" si="4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17"/>
      <c r="G81" s="16"/>
      <c r="H81" s="14"/>
      <c r="I81" s="28" t="str">
        <f t="shared" si="3"/>
        <v/>
      </c>
      <c r="J81" s="11"/>
      <c r="P81" s="12" t="str">
        <f t="shared" si="4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17"/>
      <c r="G82" s="16"/>
      <c r="H82" s="14"/>
      <c r="I82" s="28" t="str">
        <f t="shared" si="3"/>
        <v/>
      </c>
      <c r="J82" s="11"/>
      <c r="P82" s="12" t="str">
        <f t="shared" si="4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17"/>
      <c r="G83" s="16"/>
      <c r="H83" s="14"/>
      <c r="I83" s="28" t="str">
        <f t="shared" si="3"/>
        <v/>
      </c>
      <c r="J83" s="11"/>
      <c r="P83" s="12" t="str">
        <f t="shared" si="4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17"/>
      <c r="G84" s="16"/>
      <c r="H84" s="14"/>
      <c r="I84" s="28" t="str">
        <f t="shared" si="3"/>
        <v/>
      </c>
      <c r="J84" s="11"/>
      <c r="P84" s="12" t="str">
        <f t="shared" si="4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17"/>
      <c r="G85" s="16"/>
      <c r="H85" s="14"/>
      <c r="I85" s="28" t="str">
        <f t="shared" si="3"/>
        <v/>
      </c>
      <c r="J85" s="11"/>
      <c r="P85" s="12" t="str">
        <f t="shared" si="4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17"/>
      <c r="G86" s="16"/>
      <c r="H86" s="14"/>
      <c r="I86" s="28" t="str">
        <f t="shared" si="3"/>
        <v/>
      </c>
      <c r="J86" s="11"/>
      <c r="P86" s="12" t="str">
        <f t="shared" si="4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17"/>
      <c r="G87" s="16"/>
      <c r="H87" s="14"/>
      <c r="I87" s="28" t="str">
        <f t="shared" si="3"/>
        <v/>
      </c>
      <c r="J87" s="11"/>
      <c r="P87" s="12" t="str">
        <f t="shared" si="4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17"/>
      <c r="G88" s="16"/>
      <c r="H88" s="14"/>
      <c r="I88" s="28" t="str">
        <f t="shared" si="3"/>
        <v/>
      </c>
      <c r="J88" s="11"/>
      <c r="P88" s="12" t="str">
        <f t="shared" si="4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17"/>
      <c r="G89" s="16"/>
      <c r="H89" s="14"/>
      <c r="I89" s="28" t="str">
        <f t="shared" si="3"/>
        <v/>
      </c>
      <c r="J89" s="11"/>
      <c r="P89" s="12" t="str">
        <f t="shared" si="4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17"/>
      <c r="G90" s="16"/>
      <c r="H90" s="14"/>
      <c r="I90" s="28" t="str">
        <f t="shared" si="3"/>
        <v/>
      </c>
      <c r="J90" s="11"/>
      <c r="P90" s="12" t="str">
        <f t="shared" si="4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17"/>
      <c r="G91" s="16"/>
      <c r="H91" s="14"/>
      <c r="I91" s="28" t="str">
        <f t="shared" si="3"/>
        <v/>
      </c>
      <c r="J91" s="11"/>
      <c r="P91" s="12" t="str">
        <f t="shared" si="4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17"/>
      <c r="G92" s="16"/>
      <c r="H92" s="14"/>
      <c r="I92" s="28" t="str">
        <f t="shared" si="3"/>
        <v/>
      </c>
      <c r="J92" s="11"/>
      <c r="P92" s="12" t="str">
        <f t="shared" si="4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17"/>
      <c r="G93" s="16"/>
      <c r="H93" s="14"/>
      <c r="I93" s="28" t="str">
        <f t="shared" si="3"/>
        <v/>
      </c>
      <c r="J93" s="11"/>
      <c r="P93" s="12" t="str">
        <f t="shared" si="4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17"/>
      <c r="G94" s="16"/>
      <c r="H94" s="14"/>
      <c r="I94" s="28" t="str">
        <f t="shared" si="3"/>
        <v/>
      </c>
      <c r="J94" s="11"/>
      <c r="P94" s="12" t="str">
        <f t="shared" si="4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17"/>
      <c r="G95" s="16"/>
      <c r="H95" s="14"/>
      <c r="I95" s="28" t="str">
        <f t="shared" si="3"/>
        <v/>
      </c>
      <c r="J95" s="11"/>
      <c r="P95" s="12" t="str">
        <f t="shared" si="4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17"/>
      <c r="G96" s="16"/>
      <c r="H96" s="14"/>
      <c r="I96" s="28" t="str">
        <f t="shared" si="3"/>
        <v/>
      </c>
      <c r="J96" s="11"/>
      <c r="P96" s="12" t="str">
        <f t="shared" si="4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17"/>
      <c r="G97" s="16"/>
      <c r="H97" s="14"/>
      <c r="I97" s="28" t="str">
        <f t="shared" si="3"/>
        <v/>
      </c>
      <c r="J97" s="11"/>
      <c r="P97" s="12" t="str">
        <f t="shared" si="4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17"/>
      <c r="G98" s="16"/>
      <c r="H98" s="14"/>
      <c r="I98" s="28" t="str">
        <f t="shared" si="3"/>
        <v/>
      </c>
      <c r="J98" s="11"/>
      <c r="P98" s="12" t="str">
        <f t="shared" si="4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17"/>
      <c r="G99" s="16"/>
      <c r="H99" s="14"/>
      <c r="I99" s="28" t="str">
        <f t="shared" si="3"/>
        <v/>
      </c>
      <c r="J99" s="11"/>
      <c r="P99" s="12" t="str">
        <f t="shared" si="4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17"/>
      <c r="G100" s="16"/>
      <c r="H100" s="14"/>
      <c r="I100" s="28" t="str">
        <f t="shared" si="3"/>
        <v/>
      </c>
      <c r="J100" s="11"/>
      <c r="P100" s="12" t="str">
        <f t="shared" si="4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17"/>
      <c r="G101" s="16"/>
      <c r="H101" s="14"/>
      <c r="I101" s="28" t="str">
        <f t="shared" si="3"/>
        <v/>
      </c>
      <c r="J101" s="11"/>
      <c r="P101" s="12" t="str">
        <f t="shared" si="4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17"/>
      <c r="G102" s="16"/>
      <c r="H102" s="14"/>
      <c r="I102" s="28" t="str">
        <f t="shared" si="3"/>
        <v/>
      </c>
      <c r="J102" s="11"/>
      <c r="P102" s="12" t="str">
        <f t="shared" si="4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17"/>
      <c r="G103" s="16"/>
      <c r="H103" s="14"/>
      <c r="I103" s="28" t="str">
        <f t="shared" si="3"/>
        <v/>
      </c>
      <c r="J103" s="11"/>
      <c r="P103" s="12" t="str">
        <f t="shared" si="4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17"/>
      <c r="G104" s="16"/>
      <c r="H104" s="14"/>
      <c r="I104" s="28" t="str">
        <f t="shared" si="3"/>
        <v/>
      </c>
      <c r="J104" s="11"/>
      <c r="P104" s="12" t="str">
        <f t="shared" si="4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17"/>
      <c r="G105" s="16"/>
      <c r="H105" s="14"/>
      <c r="I105" s="28" t="str">
        <f t="shared" si="3"/>
        <v/>
      </c>
      <c r="J105" s="11"/>
      <c r="P105" s="12" t="str">
        <f t="shared" si="4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17"/>
      <c r="G106" s="16"/>
      <c r="H106" s="14"/>
      <c r="I106" s="28" t="str">
        <f t="shared" si="3"/>
        <v/>
      </c>
      <c r="J106" s="11"/>
      <c r="P106" s="12" t="str">
        <f t="shared" si="4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17"/>
      <c r="G107" s="16"/>
      <c r="H107" s="14"/>
      <c r="I107" s="28" t="str">
        <f t="shared" si="3"/>
        <v/>
      </c>
      <c r="J107" s="11"/>
      <c r="P107" s="12" t="str">
        <f t="shared" si="4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17"/>
      <c r="G108" s="16"/>
      <c r="H108" s="14"/>
      <c r="I108" s="28" t="str">
        <f t="shared" si="3"/>
        <v/>
      </c>
      <c r="J108" s="11"/>
      <c r="P108" s="12" t="str">
        <f t="shared" si="4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17"/>
      <c r="G109" s="16"/>
      <c r="H109" s="14"/>
      <c r="I109" s="28" t="str">
        <f t="shared" si="3"/>
        <v/>
      </c>
      <c r="J109" s="11"/>
      <c r="P109" s="12" t="str">
        <f t="shared" si="4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17"/>
      <c r="G110" s="16"/>
      <c r="H110" s="14"/>
      <c r="I110" s="28" t="str">
        <f t="shared" si="3"/>
        <v/>
      </c>
      <c r="J110" s="11"/>
      <c r="P110" s="12" t="str">
        <f t="shared" si="4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17"/>
      <c r="G111" s="16"/>
      <c r="H111" s="14"/>
      <c r="I111" s="28" t="str">
        <f t="shared" si="3"/>
        <v/>
      </c>
      <c r="J111" s="11"/>
      <c r="P111" s="12" t="str">
        <f t="shared" si="4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17"/>
      <c r="G112" s="16"/>
      <c r="H112" s="14"/>
      <c r="I112" s="28" t="str">
        <f t="shared" si="3"/>
        <v/>
      </c>
      <c r="J112" s="11"/>
      <c r="P112" s="12" t="str">
        <f t="shared" si="4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17"/>
      <c r="G113" s="16"/>
      <c r="H113" s="14"/>
      <c r="I113" s="28" t="str">
        <f t="shared" si="3"/>
        <v/>
      </c>
      <c r="J113" s="11"/>
      <c r="P113" s="12" t="str">
        <f t="shared" si="4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17"/>
      <c r="G114" s="16"/>
      <c r="H114" s="14"/>
      <c r="I114" s="28" t="str">
        <f t="shared" si="3"/>
        <v/>
      </c>
      <c r="J114" s="11"/>
      <c r="P114" s="12" t="str">
        <f t="shared" si="4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17"/>
      <c r="G115" s="16"/>
      <c r="H115" s="14"/>
      <c r="I115" s="28" t="str">
        <f t="shared" si="3"/>
        <v/>
      </c>
      <c r="J115" s="11"/>
      <c r="P115" s="12" t="str">
        <f t="shared" si="4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17"/>
      <c r="G116" s="16"/>
      <c r="H116" s="14"/>
      <c r="I116" s="28" t="str">
        <f t="shared" si="3"/>
        <v/>
      </c>
      <c r="J116" s="11"/>
      <c r="P116" s="12" t="str">
        <f t="shared" si="4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17"/>
      <c r="G117" s="16"/>
      <c r="H117" s="14"/>
      <c r="I117" s="28" t="str">
        <f t="shared" si="3"/>
        <v/>
      </c>
      <c r="J117" s="11"/>
      <c r="P117" s="12" t="str">
        <f t="shared" si="4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17"/>
      <c r="G118" s="16"/>
      <c r="H118" s="14"/>
      <c r="I118" s="28" t="str">
        <f t="shared" si="3"/>
        <v/>
      </c>
      <c r="J118" s="11"/>
      <c r="P118" s="12" t="str">
        <f t="shared" si="4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17"/>
      <c r="G119" s="16"/>
      <c r="H119" s="14"/>
      <c r="I119" s="28" t="str">
        <f t="shared" si="3"/>
        <v/>
      </c>
      <c r="J119" s="11"/>
      <c r="P119" s="12" t="str">
        <f t="shared" si="4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17"/>
      <c r="G120" s="16"/>
      <c r="H120" s="14"/>
      <c r="I120" s="28" t="str">
        <f t="shared" si="3"/>
        <v/>
      </c>
      <c r="J120" s="11"/>
      <c r="P120" s="12" t="str">
        <f t="shared" si="4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17"/>
      <c r="G121" s="16"/>
      <c r="H121" s="14"/>
      <c r="I121" s="28" t="str">
        <f t="shared" si="3"/>
        <v/>
      </c>
      <c r="J121" s="11"/>
      <c r="P121" s="12" t="str">
        <f t="shared" si="4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17"/>
      <c r="G122" s="16"/>
      <c r="H122" s="14"/>
      <c r="I122" s="28" t="str">
        <f t="shared" si="3"/>
        <v/>
      </c>
      <c r="J122" s="11"/>
      <c r="P122" s="12" t="str">
        <f t="shared" si="4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17"/>
      <c r="G123" s="16"/>
      <c r="H123" s="14"/>
      <c r="I123" s="28" t="str">
        <f t="shared" si="3"/>
        <v/>
      </c>
      <c r="J123" s="11"/>
      <c r="P123" s="12" t="str">
        <f t="shared" si="4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17"/>
      <c r="G124" s="16"/>
      <c r="H124" s="14"/>
      <c r="I124" s="28" t="str">
        <f t="shared" si="3"/>
        <v/>
      </c>
      <c r="J124" s="11"/>
      <c r="P124" s="12" t="str">
        <f t="shared" si="4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17"/>
      <c r="G125" s="16"/>
      <c r="H125" s="14"/>
      <c r="I125" s="28" t="str">
        <f t="shared" si="3"/>
        <v/>
      </c>
      <c r="J125" s="11"/>
      <c r="P125" s="12" t="str">
        <f t="shared" si="4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17"/>
      <c r="G126" s="16"/>
      <c r="H126" s="14"/>
      <c r="I126" s="28" t="str">
        <f t="shared" si="3"/>
        <v/>
      </c>
      <c r="J126" s="11"/>
      <c r="P126" s="12" t="str">
        <f t="shared" si="4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17"/>
      <c r="G127" s="16"/>
      <c r="H127" s="14"/>
      <c r="I127" s="28" t="str">
        <f t="shared" si="3"/>
        <v/>
      </c>
      <c r="J127" s="11"/>
      <c r="P127" s="12" t="str">
        <f t="shared" si="4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17"/>
      <c r="G128" s="16"/>
      <c r="H128" s="14"/>
      <c r="I128" s="28" t="str">
        <f t="shared" si="3"/>
        <v/>
      </c>
      <c r="J128" s="11"/>
      <c r="P128" s="12" t="str">
        <f t="shared" si="4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17"/>
      <c r="G129" s="16"/>
      <c r="H129" s="14"/>
      <c r="I129" s="28" t="str">
        <f t="shared" si="3"/>
        <v/>
      </c>
      <c r="J129" s="11"/>
      <c r="P129" s="12" t="str">
        <f t="shared" si="4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17"/>
      <c r="G130" s="16"/>
      <c r="H130" s="14"/>
      <c r="I130" s="28" t="str">
        <f t="shared" si="3"/>
        <v/>
      </c>
      <c r="J130" s="11"/>
      <c r="P130" s="12" t="str">
        <f t="shared" si="4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17"/>
      <c r="G131" s="16"/>
      <c r="H131" s="14"/>
      <c r="I131" s="28" t="str">
        <f t="shared" si="3"/>
        <v/>
      </c>
      <c r="J131" s="11"/>
      <c r="P131" s="12" t="str">
        <f t="shared" si="4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17"/>
      <c r="G132" s="16"/>
      <c r="H132" s="14"/>
      <c r="I132" s="28" t="str">
        <f t="shared" si="3"/>
        <v/>
      </c>
      <c r="J132" s="11"/>
      <c r="P132" s="12" t="str">
        <f t="shared" si="4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17"/>
      <c r="G133" s="16"/>
      <c r="H133" s="14"/>
      <c r="I133" s="28" t="str">
        <f t="shared" si="3"/>
        <v/>
      </c>
      <c r="J133" s="11"/>
      <c r="P133" s="12" t="str">
        <f t="shared" si="4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17"/>
      <c r="G134" s="16"/>
      <c r="H134" s="14"/>
      <c r="I134" s="28" t="str">
        <f t="shared" si="3"/>
        <v/>
      </c>
      <c r="J134" s="11"/>
      <c r="P134" s="12" t="str">
        <f t="shared" si="4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17"/>
      <c r="G135" s="16"/>
      <c r="H135" s="14"/>
      <c r="I135" s="28" t="str">
        <f t="shared" si="3"/>
        <v/>
      </c>
      <c r="J135" s="11"/>
      <c r="P135" s="12" t="str">
        <f t="shared" si="4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17"/>
      <c r="G136" s="16"/>
      <c r="H136" s="14"/>
      <c r="I136" s="28" t="str">
        <f t="shared" si="3"/>
        <v/>
      </c>
      <c r="J136" s="11"/>
      <c r="P136" s="12" t="str">
        <f t="shared" si="4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17"/>
      <c r="G137" s="16"/>
      <c r="H137" s="14"/>
      <c r="I137" s="28" t="str">
        <f t="shared" si="3"/>
        <v/>
      </c>
      <c r="J137" s="11"/>
      <c r="P137" s="12" t="str">
        <f t="shared" si="4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17"/>
      <c r="G138" s="16"/>
      <c r="H138" s="14"/>
      <c r="I138" s="28" t="str">
        <f t="shared" si="3"/>
        <v/>
      </c>
      <c r="J138" s="11"/>
      <c r="P138" s="12" t="str">
        <f t="shared" si="4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17"/>
      <c r="G139" s="16"/>
      <c r="H139" s="14"/>
      <c r="I139" s="28" t="str">
        <f t="shared" si="3"/>
        <v/>
      </c>
      <c r="J139" s="11"/>
      <c r="P139" s="12" t="str">
        <f t="shared" si="4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17"/>
      <c r="G140" s="16"/>
      <c r="H140" s="14"/>
      <c r="I140" s="28" t="str">
        <f t="shared" si="3"/>
        <v/>
      </c>
      <c r="J140" s="11"/>
      <c r="P140" s="12" t="str">
        <f t="shared" si="4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17"/>
      <c r="G141" s="16"/>
      <c r="H141" s="14"/>
      <c r="I141" s="28" t="str">
        <f t="shared" si="3"/>
        <v/>
      </c>
      <c r="J141" s="11"/>
      <c r="P141" s="12" t="str">
        <f t="shared" si="4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17"/>
      <c r="G142" s="16"/>
      <c r="H142" s="14"/>
      <c r="I142" s="28" t="str">
        <f t="shared" si="3"/>
        <v/>
      </c>
      <c r="J142" s="11"/>
      <c r="P142" s="12" t="str">
        <f t="shared" si="4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17"/>
      <c r="G143" s="16"/>
      <c r="H143" s="14"/>
      <c r="I143" s="28" t="str">
        <f t="shared" si="3"/>
        <v/>
      </c>
      <c r="J143" s="11"/>
      <c r="P143" s="12" t="str">
        <f t="shared" si="4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17"/>
      <c r="G144" s="16"/>
      <c r="H144" s="14"/>
      <c r="I144" s="28" t="str">
        <f t="shared" si="3"/>
        <v/>
      </c>
      <c r="J144" s="11"/>
      <c r="P144" s="12" t="str">
        <f t="shared" si="4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17"/>
      <c r="G145" s="16"/>
      <c r="H145" s="14"/>
      <c r="I145" s="28" t="str">
        <f t="shared" si="3"/>
        <v/>
      </c>
      <c r="J145" s="11"/>
      <c r="P145" s="12" t="str">
        <f t="shared" si="4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17"/>
      <c r="G146" s="16"/>
      <c r="H146" s="14"/>
      <c r="I146" s="28" t="str">
        <f t="shared" si="3"/>
        <v/>
      </c>
      <c r="J146" s="11"/>
      <c r="P146" s="12" t="str">
        <f t="shared" si="4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17"/>
      <c r="G147" s="16"/>
      <c r="H147" s="14"/>
      <c r="I147" s="28" t="str">
        <f t="shared" si="3"/>
        <v/>
      </c>
      <c r="J147" s="11"/>
      <c r="P147" s="12" t="str">
        <f t="shared" si="4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17"/>
      <c r="G148" s="16"/>
      <c r="H148" s="14"/>
      <c r="I148" s="28" t="str">
        <f t="shared" si="3"/>
        <v/>
      </c>
      <c r="J148" s="11"/>
      <c r="P148" s="12" t="str">
        <f t="shared" si="4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17"/>
      <c r="G149" s="16"/>
      <c r="H149" s="14"/>
      <c r="I149" s="28" t="str">
        <f t="shared" si="3"/>
        <v/>
      </c>
      <c r="J149" s="11"/>
      <c r="P149" s="12" t="str">
        <f t="shared" si="4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17"/>
      <c r="G150" s="16"/>
      <c r="H150" s="14"/>
      <c r="I150" s="28" t="str">
        <f t="shared" si="3"/>
        <v/>
      </c>
      <c r="J150" s="11"/>
      <c r="P150" s="12" t="str">
        <f t="shared" si="4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17"/>
      <c r="G151" s="16"/>
      <c r="H151" s="14"/>
      <c r="I151" s="28" t="str">
        <f t="shared" si="3"/>
        <v/>
      </c>
      <c r="J151" s="11"/>
      <c r="P151" s="12" t="str">
        <f t="shared" si="4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17"/>
      <c r="G152" s="16"/>
      <c r="H152" s="14"/>
      <c r="I152" s="28" t="str">
        <f t="shared" si="3"/>
        <v/>
      </c>
      <c r="J152" s="11"/>
      <c r="P152" s="12" t="str">
        <f t="shared" si="4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17"/>
      <c r="G153" s="16"/>
      <c r="H153" s="14"/>
      <c r="I153" s="28" t="str">
        <f t="shared" si="3"/>
        <v/>
      </c>
      <c r="J153" s="11"/>
      <c r="P153" s="12" t="str">
        <f t="shared" si="4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17"/>
      <c r="G154" s="16"/>
      <c r="H154" s="14"/>
      <c r="I154" s="28" t="str">
        <f t="shared" si="3"/>
        <v/>
      </c>
      <c r="J154" s="11"/>
      <c r="P154" s="12" t="str">
        <f t="shared" si="4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17"/>
      <c r="G155" s="16"/>
      <c r="H155" s="14"/>
      <c r="I155" s="28" t="str">
        <f t="shared" si="3"/>
        <v/>
      </c>
      <c r="J155" s="11"/>
      <c r="P155" s="12" t="str">
        <f t="shared" si="4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17"/>
      <c r="G156" s="16"/>
      <c r="H156" s="14"/>
      <c r="I156" s="28" t="str">
        <f t="shared" si="3"/>
        <v/>
      </c>
      <c r="J156" s="11"/>
      <c r="P156" s="12" t="str">
        <f t="shared" si="4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17"/>
      <c r="G157" s="16"/>
      <c r="H157" s="14"/>
      <c r="I157" s="28" t="str">
        <f t="shared" si="3"/>
        <v/>
      </c>
      <c r="J157" s="11"/>
      <c r="P157" s="12" t="str">
        <f t="shared" si="4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17"/>
      <c r="G158" s="16"/>
      <c r="H158" s="14"/>
      <c r="I158" s="28" t="str">
        <f t="shared" si="3"/>
        <v/>
      </c>
      <c r="J158" s="11"/>
      <c r="P158" s="12" t="str">
        <f t="shared" si="4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17"/>
      <c r="G159" s="16"/>
      <c r="H159" s="14"/>
      <c r="I159" s="28" t="str">
        <f t="shared" si="3"/>
        <v/>
      </c>
      <c r="J159" s="11"/>
      <c r="P159" s="12" t="str">
        <f t="shared" si="4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17"/>
      <c r="G160" s="16"/>
      <c r="H160" s="14"/>
      <c r="I160" s="28" t="str">
        <f t="shared" si="3"/>
        <v/>
      </c>
      <c r="J160" s="11"/>
      <c r="P160" s="12" t="str">
        <f t="shared" si="4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17"/>
      <c r="G161" s="16"/>
      <c r="H161" s="14"/>
      <c r="I161" s="28" t="str">
        <f t="shared" si="3"/>
        <v/>
      </c>
      <c r="J161" s="11"/>
      <c r="P161" s="12" t="str">
        <f t="shared" si="4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17"/>
      <c r="G162" s="16"/>
      <c r="H162" s="14"/>
      <c r="I162" s="28" t="str">
        <f t="shared" si="3"/>
        <v/>
      </c>
      <c r="J162" s="11"/>
      <c r="P162" s="12" t="str">
        <f t="shared" si="4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17"/>
      <c r="G163" s="16"/>
      <c r="H163" s="14"/>
      <c r="I163" s="28" t="str">
        <f t="shared" si="3"/>
        <v/>
      </c>
      <c r="J163" s="11"/>
      <c r="P163" s="12" t="str">
        <f t="shared" si="4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17"/>
      <c r="G164" s="16"/>
      <c r="H164" s="14"/>
      <c r="I164" s="28" t="str">
        <f t="shared" si="3"/>
        <v/>
      </c>
      <c r="J164" s="11"/>
      <c r="P164" s="12" t="str">
        <f t="shared" si="4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17"/>
      <c r="G165" s="16"/>
      <c r="H165" s="14"/>
      <c r="I165" s="28" t="str">
        <f t="shared" si="3"/>
        <v/>
      </c>
      <c r="J165" s="11"/>
      <c r="P165" s="12" t="str">
        <f t="shared" si="4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17"/>
      <c r="G166" s="16"/>
      <c r="H166" s="14"/>
      <c r="I166" s="28" t="str">
        <f t="shared" si="3"/>
        <v/>
      </c>
      <c r="J166" s="11"/>
      <c r="P166" s="12" t="str">
        <f t="shared" si="4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17"/>
      <c r="G167" s="16"/>
      <c r="H167" s="14"/>
      <c r="I167" s="28" t="str">
        <f t="shared" si="3"/>
        <v/>
      </c>
      <c r="J167" s="11"/>
      <c r="P167" s="12" t="str">
        <f t="shared" si="4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17"/>
      <c r="G168" s="16"/>
      <c r="H168" s="14"/>
      <c r="I168" s="28" t="str">
        <f t="shared" si="3"/>
        <v/>
      </c>
      <c r="J168" s="11"/>
      <c r="P168" s="12" t="str">
        <f t="shared" si="4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17"/>
      <c r="G169" s="16"/>
      <c r="H169" s="14"/>
      <c r="I169" s="28" t="str">
        <f t="shared" si="3"/>
        <v/>
      </c>
      <c r="J169" s="11"/>
      <c r="P169" s="12" t="str">
        <f t="shared" si="4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17"/>
      <c r="G170" s="16"/>
      <c r="H170" s="14"/>
      <c r="I170" s="28" t="str">
        <f t="shared" si="3"/>
        <v/>
      </c>
      <c r="J170" s="11"/>
      <c r="P170" s="12" t="str">
        <f t="shared" si="4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17"/>
      <c r="G171" s="16"/>
      <c r="H171" s="14"/>
      <c r="I171" s="28" t="str">
        <f t="shared" si="3"/>
        <v/>
      </c>
      <c r="J171" s="11"/>
      <c r="P171" s="12" t="str">
        <f t="shared" si="4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17"/>
      <c r="G172" s="16"/>
      <c r="H172" s="14"/>
      <c r="I172" s="28" t="str">
        <f t="shared" si="3"/>
        <v/>
      </c>
      <c r="J172" s="11"/>
      <c r="P172" s="12" t="str">
        <f t="shared" si="4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17"/>
      <c r="G173" s="16"/>
      <c r="H173" s="14"/>
      <c r="I173" s="28" t="str">
        <f t="shared" si="3"/>
        <v/>
      </c>
      <c r="J173" s="11"/>
      <c r="P173" s="12" t="str">
        <f t="shared" si="4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17"/>
      <c r="G174" s="16"/>
      <c r="H174" s="14"/>
      <c r="I174" s="28" t="str">
        <f t="shared" si="3"/>
        <v/>
      </c>
      <c r="J174" s="11"/>
      <c r="P174" s="12" t="str">
        <f t="shared" si="4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17"/>
      <c r="G175" s="16"/>
      <c r="H175" s="14"/>
      <c r="I175" s="28" t="str">
        <f t="shared" si="3"/>
        <v/>
      </c>
      <c r="J175" s="11"/>
      <c r="P175" s="12" t="str">
        <f t="shared" si="4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17"/>
      <c r="G176" s="16"/>
      <c r="H176" s="14"/>
      <c r="I176" s="28" t="str">
        <f t="shared" si="3"/>
        <v/>
      </c>
      <c r="J176" s="11"/>
      <c r="P176" s="12" t="str">
        <f t="shared" si="4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17"/>
      <c r="G177" s="16"/>
      <c r="H177" s="14"/>
      <c r="I177" s="28" t="str">
        <f t="shared" si="3"/>
        <v/>
      </c>
      <c r="J177" s="11"/>
      <c r="P177" s="12" t="str">
        <f t="shared" si="4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17"/>
      <c r="G178" s="16"/>
      <c r="H178" s="14"/>
      <c r="I178" s="28" t="str">
        <f t="shared" si="3"/>
        <v/>
      </c>
      <c r="J178" s="11"/>
      <c r="P178" s="12" t="str">
        <f t="shared" si="4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17"/>
      <c r="G179" s="16"/>
      <c r="H179" s="14"/>
      <c r="I179" s="28" t="str">
        <f t="shared" si="3"/>
        <v/>
      </c>
      <c r="J179" s="11"/>
      <c r="P179" s="12" t="str">
        <f t="shared" si="4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17"/>
      <c r="G180" s="16"/>
      <c r="H180" s="14"/>
      <c r="I180" s="28" t="str">
        <f t="shared" si="3"/>
        <v/>
      </c>
      <c r="J180" s="11"/>
      <c r="P180" s="12" t="str">
        <f t="shared" si="4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17"/>
      <c r="G181" s="16"/>
      <c r="H181" s="14"/>
      <c r="I181" s="28" t="str">
        <f t="shared" si="3"/>
        <v/>
      </c>
      <c r="J181" s="11"/>
      <c r="P181" s="12" t="str">
        <f t="shared" si="4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17"/>
      <c r="G182" s="16"/>
      <c r="H182" s="14"/>
      <c r="I182" s="28" t="str">
        <f t="shared" si="3"/>
        <v/>
      </c>
      <c r="J182" s="11"/>
      <c r="P182" s="12" t="str">
        <f t="shared" si="4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17"/>
      <c r="G183" s="16"/>
      <c r="H183" s="14"/>
      <c r="I183" s="28" t="str">
        <f t="shared" si="3"/>
        <v/>
      </c>
      <c r="J183" s="11"/>
      <c r="P183" s="12" t="str">
        <f t="shared" si="4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17"/>
      <c r="G184" s="16"/>
      <c r="H184" s="14"/>
      <c r="I184" s="28" t="str">
        <f t="shared" si="3"/>
        <v/>
      </c>
      <c r="J184" s="11"/>
      <c r="P184" s="12" t="str">
        <f t="shared" si="4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17"/>
      <c r="G185" s="16"/>
      <c r="H185" s="14"/>
      <c r="I185" s="28" t="str">
        <f t="shared" si="3"/>
        <v/>
      </c>
      <c r="J185" s="11"/>
      <c r="P185" s="12" t="str">
        <f t="shared" si="4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17"/>
      <c r="G186" s="16"/>
      <c r="H186" s="14"/>
      <c r="I186" s="28" t="str">
        <f t="shared" si="3"/>
        <v/>
      </c>
      <c r="J186" s="11"/>
      <c r="P186" s="12" t="str">
        <f t="shared" si="4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17"/>
      <c r="G187" s="16"/>
      <c r="H187" s="14"/>
      <c r="I187" s="28" t="str">
        <f t="shared" si="3"/>
        <v/>
      </c>
      <c r="J187" s="11"/>
      <c r="P187" s="12" t="str">
        <f t="shared" si="4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17"/>
      <c r="G188" s="16"/>
      <c r="H188" s="14"/>
      <c r="I188" s="28" t="str">
        <f t="shared" si="3"/>
        <v/>
      </c>
      <c r="J188" s="11"/>
      <c r="P188" s="12" t="str">
        <f t="shared" si="4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17"/>
      <c r="G189" s="16"/>
      <c r="H189" s="14"/>
      <c r="I189" s="28" t="str">
        <f t="shared" si="3"/>
        <v/>
      </c>
      <c r="J189" s="11"/>
      <c r="P189" s="12" t="str">
        <f t="shared" si="4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17"/>
      <c r="G190" s="16"/>
      <c r="H190" s="14"/>
      <c r="I190" s="28" t="str">
        <f t="shared" si="3"/>
        <v/>
      </c>
      <c r="J190" s="11"/>
      <c r="P190" s="12" t="str">
        <f t="shared" si="4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17"/>
      <c r="G191" s="16"/>
      <c r="H191" s="14"/>
      <c r="I191" s="28" t="str">
        <f t="shared" si="3"/>
        <v/>
      </c>
      <c r="J191" s="11"/>
      <c r="P191" s="12" t="str">
        <f t="shared" si="4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17"/>
      <c r="G192" s="16"/>
      <c r="H192" s="14"/>
      <c r="I192" s="28" t="str">
        <f t="shared" si="3"/>
        <v/>
      </c>
      <c r="J192" s="11"/>
      <c r="P192" s="12" t="str">
        <f t="shared" si="4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17"/>
      <c r="G193" s="16"/>
      <c r="H193" s="14"/>
      <c r="I193" s="28" t="str">
        <f t="shared" si="3"/>
        <v/>
      </c>
      <c r="J193" s="11"/>
      <c r="P193" s="12" t="str">
        <f t="shared" si="4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17"/>
      <c r="G194" s="16"/>
      <c r="H194" s="14"/>
      <c r="I194" s="28" t="str">
        <f t="shared" si="3"/>
        <v/>
      </c>
      <c r="J194" s="11"/>
      <c r="P194" s="12" t="str">
        <f t="shared" si="4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17"/>
      <c r="G195" s="16"/>
      <c r="H195" s="14"/>
      <c r="I195" s="28" t="str">
        <f t="shared" si="3"/>
        <v/>
      </c>
      <c r="J195" s="11"/>
      <c r="P195" s="12" t="str">
        <f t="shared" si="4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17"/>
      <c r="G196" s="16"/>
      <c r="H196" s="14"/>
      <c r="I196" s="28" t="str">
        <f t="shared" si="3"/>
        <v/>
      </c>
      <c r="J196" s="11"/>
      <c r="P196" s="12" t="str">
        <f t="shared" si="4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17"/>
      <c r="G197" s="16"/>
      <c r="H197" s="14"/>
      <c r="I197" s="28" t="str">
        <f t="shared" si="3"/>
        <v/>
      </c>
      <c r="J197" s="11"/>
      <c r="P197" s="12" t="str">
        <f t="shared" si="4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17"/>
      <c r="G198" s="16"/>
      <c r="H198" s="14"/>
      <c r="I198" s="28" t="str">
        <f t="shared" si="3"/>
        <v/>
      </c>
      <c r="J198" s="11"/>
      <c r="P198" s="12" t="str">
        <f t="shared" si="4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17"/>
      <c r="G199" s="16"/>
      <c r="H199" s="14"/>
      <c r="I199" s="28" t="str">
        <f t="shared" si="3"/>
        <v/>
      </c>
      <c r="J199" s="11"/>
      <c r="P199" s="12" t="str">
        <f t="shared" si="4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17"/>
      <c r="G200" s="16"/>
      <c r="H200" s="14"/>
      <c r="I200" s="28" t="str">
        <f t="shared" si="3"/>
        <v/>
      </c>
      <c r="J200" s="11"/>
      <c r="P200" s="12" t="str">
        <f t="shared" si="4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17"/>
      <c r="G201" s="16"/>
      <c r="H201" s="14"/>
      <c r="I201" s="28" t="str">
        <f t="shared" si="3"/>
        <v/>
      </c>
      <c r="J201" s="11"/>
      <c r="P201" s="12" t="str">
        <f t="shared" si="4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17"/>
      <c r="G202" s="16"/>
      <c r="H202" s="14"/>
      <c r="I202" s="28" t="str">
        <f t="shared" si="3"/>
        <v/>
      </c>
      <c r="J202" s="11"/>
      <c r="P202" s="12" t="str">
        <f t="shared" si="4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17"/>
      <c r="G203" s="16"/>
      <c r="H203" s="14"/>
      <c r="I203" s="28" t="str">
        <f t="shared" si="3"/>
        <v/>
      </c>
      <c r="J203" s="11"/>
      <c r="P203" s="12" t="str">
        <f t="shared" si="4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17"/>
      <c r="G204" s="16"/>
      <c r="H204" s="14"/>
      <c r="I204" s="28" t="str">
        <f t="shared" si="3"/>
        <v/>
      </c>
      <c r="J204" s="11"/>
      <c r="P204" s="12" t="str">
        <f t="shared" si="4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17"/>
      <c r="G205" s="16"/>
      <c r="H205" s="14"/>
      <c r="I205" s="28" t="str">
        <f t="shared" si="3"/>
        <v/>
      </c>
      <c r="J205" s="11"/>
      <c r="P205" s="12" t="str">
        <f t="shared" si="4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17"/>
      <c r="G206" s="16"/>
      <c r="H206" s="14"/>
      <c r="I206" s="28" t="str">
        <f t="shared" si="3"/>
        <v/>
      </c>
      <c r="J206" s="11"/>
      <c r="P206" s="12" t="str">
        <f t="shared" si="4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17"/>
      <c r="G207" s="16"/>
      <c r="H207" s="14"/>
      <c r="I207" s="28" t="str">
        <f t="shared" si="3"/>
        <v/>
      </c>
      <c r="J207" s="11"/>
      <c r="P207" s="12" t="str">
        <f t="shared" si="4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17"/>
      <c r="G208" s="16"/>
      <c r="H208" s="14"/>
      <c r="I208" s="28" t="str">
        <f t="shared" si="3"/>
        <v/>
      </c>
      <c r="J208" s="11"/>
      <c r="P208" s="12" t="str">
        <f t="shared" si="4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17"/>
      <c r="G209" s="16"/>
      <c r="H209" s="14"/>
      <c r="I209" s="28" t="str">
        <f t="shared" si="3"/>
        <v/>
      </c>
      <c r="J209" s="11"/>
      <c r="P209" s="12" t="str">
        <f t="shared" si="4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17"/>
      <c r="G210" s="16"/>
      <c r="H210" s="14"/>
      <c r="I210" s="28" t="str">
        <f t="shared" si="3"/>
        <v/>
      </c>
      <c r="J210" s="11"/>
      <c r="P210" s="12" t="str">
        <f t="shared" si="4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17"/>
      <c r="G211" s="16"/>
      <c r="H211" s="14"/>
      <c r="I211" s="28" t="str">
        <f t="shared" si="3"/>
        <v/>
      </c>
      <c r="J211" s="11"/>
      <c r="P211" s="12" t="str">
        <f t="shared" si="4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17"/>
      <c r="G212" s="16"/>
      <c r="H212" s="14"/>
      <c r="I212" s="28" t="str">
        <f t="shared" si="3"/>
        <v/>
      </c>
      <c r="J212" s="11"/>
      <c r="P212" s="12" t="str">
        <f t="shared" si="4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17"/>
      <c r="G213" s="16"/>
      <c r="H213" s="14"/>
      <c r="I213" s="28" t="str">
        <f t="shared" si="3"/>
        <v/>
      </c>
      <c r="J213" s="11"/>
      <c r="P213" s="12" t="str">
        <f t="shared" si="4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17"/>
      <c r="G214" s="16"/>
      <c r="H214" s="14"/>
      <c r="I214" s="28" t="str">
        <f t="shared" si="3"/>
        <v/>
      </c>
      <c r="J214" s="11"/>
      <c r="P214" s="12" t="str">
        <f t="shared" si="4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17"/>
      <c r="G215" s="16"/>
      <c r="H215" s="14"/>
      <c r="I215" s="28" t="str">
        <f t="shared" si="3"/>
        <v/>
      </c>
      <c r="J215" s="11"/>
      <c r="P215" s="12" t="str">
        <f t="shared" si="4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17"/>
      <c r="G216" s="16"/>
      <c r="H216" s="14"/>
      <c r="I216" s="28" t="str">
        <f t="shared" si="3"/>
        <v/>
      </c>
      <c r="J216" s="11"/>
      <c r="P216" s="12" t="str">
        <f t="shared" si="4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17"/>
      <c r="G217" s="16"/>
      <c r="H217" s="14"/>
      <c r="I217" s="28" t="str">
        <f t="shared" si="3"/>
        <v/>
      </c>
      <c r="J217" s="11"/>
      <c r="P217" s="12" t="str">
        <f t="shared" si="4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17"/>
      <c r="G218" s="16"/>
      <c r="H218" s="14"/>
      <c r="I218" s="28" t="str">
        <f t="shared" si="3"/>
        <v/>
      </c>
      <c r="J218" s="11"/>
      <c r="P218" s="12" t="str">
        <f t="shared" si="4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17"/>
      <c r="G219" s="16"/>
      <c r="H219" s="14"/>
      <c r="I219" s="28" t="str">
        <f t="shared" si="3"/>
        <v/>
      </c>
      <c r="J219" s="11"/>
      <c r="P219" s="12" t="str">
        <f t="shared" si="4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17"/>
      <c r="G220" s="16"/>
      <c r="H220" s="14"/>
      <c r="I220" s="28" t="str">
        <f t="shared" si="3"/>
        <v/>
      </c>
      <c r="J220" s="11"/>
      <c r="P220" s="12" t="str">
        <f t="shared" si="4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17"/>
      <c r="G221" s="16"/>
      <c r="H221" s="14"/>
      <c r="I221" s="28" t="str">
        <f t="shared" si="3"/>
        <v/>
      </c>
      <c r="J221" s="11"/>
      <c r="P221" s="12" t="str">
        <f t="shared" si="4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17"/>
      <c r="G222" s="16"/>
      <c r="H222" s="14"/>
      <c r="I222" s="28" t="str">
        <f t="shared" si="3"/>
        <v/>
      </c>
      <c r="J222" s="11"/>
      <c r="P222" s="12" t="str">
        <f t="shared" si="4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17"/>
      <c r="G223" s="16"/>
      <c r="H223" s="14"/>
      <c r="I223" s="28" t="str">
        <f t="shared" si="3"/>
        <v/>
      </c>
      <c r="J223" s="11"/>
      <c r="P223" s="12" t="str">
        <f t="shared" si="4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17"/>
      <c r="G224" s="16"/>
      <c r="H224" s="14"/>
      <c r="I224" s="28" t="str">
        <f t="shared" si="3"/>
        <v/>
      </c>
      <c r="J224" s="11"/>
      <c r="P224" s="12" t="str">
        <f t="shared" si="4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17"/>
      <c r="G225" s="16"/>
      <c r="H225" s="14"/>
      <c r="I225" s="28" t="str">
        <f t="shared" si="3"/>
        <v/>
      </c>
      <c r="J225" s="11"/>
      <c r="P225" s="12" t="str">
        <f t="shared" si="4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17"/>
      <c r="G226" s="16"/>
      <c r="H226" s="14"/>
      <c r="I226" s="28" t="str">
        <f t="shared" si="3"/>
        <v/>
      </c>
      <c r="J226" s="11"/>
      <c r="P226" s="12" t="str">
        <f t="shared" si="4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17"/>
      <c r="G227" s="16"/>
      <c r="H227" s="14"/>
      <c r="I227" s="28" t="str">
        <f t="shared" si="3"/>
        <v/>
      </c>
      <c r="J227" s="11"/>
      <c r="P227" s="12" t="str">
        <f t="shared" si="4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17"/>
      <c r="G228" s="16"/>
      <c r="H228" s="14"/>
      <c r="I228" s="28" t="str">
        <f t="shared" si="3"/>
        <v/>
      </c>
      <c r="J228" s="11"/>
      <c r="P228" s="12" t="str">
        <f t="shared" si="4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17"/>
      <c r="G229" s="16"/>
      <c r="H229" s="14"/>
      <c r="I229" s="28" t="str">
        <f t="shared" si="3"/>
        <v/>
      </c>
      <c r="J229" s="11"/>
      <c r="P229" s="12" t="str">
        <f t="shared" si="4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17"/>
      <c r="G230" s="16"/>
      <c r="H230" s="14"/>
      <c r="I230" s="28" t="str">
        <f t="shared" si="3"/>
        <v/>
      </c>
      <c r="J230" s="11"/>
      <c r="P230" s="12" t="str">
        <f t="shared" si="4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17"/>
      <c r="G231" s="16"/>
      <c r="H231" s="14"/>
      <c r="I231" s="28" t="str">
        <f t="shared" si="3"/>
        <v/>
      </c>
      <c r="J231" s="11"/>
      <c r="P231" s="12" t="str">
        <f t="shared" si="4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17"/>
      <c r="G232" s="16"/>
      <c r="H232" s="14"/>
      <c r="I232" s="28" t="str">
        <f t="shared" si="3"/>
        <v/>
      </c>
      <c r="J232" s="11"/>
      <c r="P232" s="12" t="str">
        <f t="shared" si="4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17"/>
      <c r="G233" s="16"/>
      <c r="H233" s="14"/>
      <c r="I233" s="28" t="str">
        <f t="shared" si="3"/>
        <v/>
      </c>
      <c r="J233" s="11"/>
      <c r="P233" s="12" t="str">
        <f t="shared" si="4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17"/>
      <c r="G234" s="16"/>
      <c r="H234" s="14"/>
      <c r="I234" s="28" t="str">
        <f t="shared" si="3"/>
        <v/>
      </c>
      <c r="J234" s="11"/>
      <c r="P234" s="12" t="str">
        <f t="shared" si="4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17"/>
      <c r="G235" s="16"/>
      <c r="H235" s="14"/>
      <c r="I235" s="28" t="str">
        <f t="shared" si="3"/>
        <v/>
      </c>
      <c r="J235" s="11"/>
      <c r="P235" s="12" t="str">
        <f t="shared" si="4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17"/>
      <c r="G236" s="16"/>
      <c r="H236" s="14"/>
      <c r="I236" s="28" t="str">
        <f t="shared" si="3"/>
        <v/>
      </c>
      <c r="J236" s="11"/>
      <c r="P236" s="12" t="str">
        <f t="shared" si="4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17"/>
      <c r="G237" s="16"/>
      <c r="H237" s="14"/>
      <c r="I237" s="28" t="str">
        <f t="shared" si="3"/>
        <v/>
      </c>
      <c r="J237" s="11"/>
      <c r="P237" s="12" t="str">
        <f t="shared" si="4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17"/>
      <c r="G238" s="16"/>
      <c r="H238" s="14"/>
      <c r="I238" s="28" t="str">
        <f t="shared" si="3"/>
        <v/>
      </c>
      <c r="J238" s="11"/>
      <c r="P238" s="12" t="str">
        <f t="shared" si="4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17"/>
      <c r="G239" s="16"/>
      <c r="H239" s="14"/>
      <c r="I239" s="28" t="str">
        <f t="shared" si="3"/>
        <v/>
      </c>
      <c r="J239" s="11"/>
      <c r="P239" s="12" t="str">
        <f t="shared" si="4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17"/>
      <c r="G240" s="16"/>
      <c r="H240" s="14"/>
      <c r="I240" s="28" t="str">
        <f t="shared" si="3"/>
        <v/>
      </c>
      <c r="J240" s="11"/>
      <c r="P240" s="12" t="str">
        <f t="shared" si="4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17"/>
      <c r="G241" s="16"/>
      <c r="H241" s="14"/>
      <c r="I241" s="28" t="str">
        <f t="shared" si="3"/>
        <v/>
      </c>
      <c r="J241" s="11"/>
      <c r="P241" s="12" t="str">
        <f t="shared" si="4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17"/>
      <c r="G242" s="16"/>
      <c r="H242" s="14"/>
      <c r="I242" s="28" t="str">
        <f t="shared" si="3"/>
        <v/>
      </c>
      <c r="J242" s="11"/>
      <c r="P242" s="12" t="str">
        <f t="shared" si="4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17"/>
      <c r="G243" s="16"/>
      <c r="H243" s="14"/>
      <c r="I243" s="28" t="str">
        <f t="shared" si="3"/>
        <v/>
      </c>
      <c r="J243" s="11"/>
      <c r="P243" s="12" t="str">
        <f t="shared" si="4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17"/>
      <c r="G244" s="16"/>
      <c r="H244" s="14"/>
      <c r="I244" s="28" t="str">
        <f t="shared" si="3"/>
        <v/>
      </c>
      <c r="J244" s="11"/>
      <c r="P244" s="12" t="str">
        <f t="shared" si="4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17"/>
      <c r="G245" s="16"/>
      <c r="H245" s="14"/>
      <c r="I245" s="28" t="str">
        <f t="shared" si="3"/>
        <v/>
      </c>
      <c r="J245" s="11"/>
      <c r="P245" s="12" t="str">
        <f t="shared" si="4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17"/>
      <c r="G246" s="16"/>
      <c r="H246" s="14"/>
      <c r="I246" s="28" t="str">
        <f t="shared" si="3"/>
        <v/>
      </c>
      <c r="J246" s="11"/>
      <c r="P246" s="12" t="str">
        <f t="shared" si="4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  <dataValidation type="list" allowBlank="1" sqref="F2:F246">
      <formula1>#REF!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 t="s">
        <v>21</v>
      </c>
      <c r="F2" s="7"/>
      <c r="G2" s="8"/>
      <c r="H2" s="9"/>
      <c r="I2" s="10"/>
      <c r="J2" s="11"/>
      <c r="P2" s="12" t="str">
        <f t="shared" ref="P2:P246" si="3">IF(ISBLANK(E2), "", TRANSPOSE(INDIRECT(E2)))</f>
        <v>Audi Crossings QC</v>
      </c>
      <c r="Q2" s="12" t="s">
        <v>24</v>
      </c>
      <c r="R2" s="12" t="s">
        <v>25</v>
      </c>
      <c r="S2" s="12" t="s">
        <v>26</v>
      </c>
      <c r="T2" s="12" t="s">
        <v>27</v>
      </c>
      <c r="U2" s="12"/>
      <c r="V2" s="12"/>
      <c r="W2" s="12"/>
      <c r="X2" s="12"/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11</v>
      </c>
      <c r="F6" s="7" t="s">
        <v>14</v>
      </c>
      <c r="G6" s="8">
        <v>8.0</v>
      </c>
      <c r="H6" s="14"/>
      <c r="I6" s="10" t="str">
        <f t="shared" si="4"/>
        <v/>
      </c>
      <c r="J6" s="11"/>
      <c r="P6" s="12" t="str">
        <f t="shared" si="3"/>
        <v>Netherlands</v>
      </c>
      <c r="Q6" s="12" t="s">
        <v>12</v>
      </c>
      <c r="R6" s="12" t="s">
        <v>13</v>
      </c>
      <c r="S6" s="12" t="s">
        <v>14</v>
      </c>
      <c r="T6" s="12"/>
      <c r="U6" s="12"/>
      <c r="V6" s="12"/>
      <c r="W6" s="12"/>
      <c r="X6" s="12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11</v>
      </c>
      <c r="F7" s="7" t="s">
        <v>14</v>
      </c>
      <c r="G7" s="8">
        <v>4.0</v>
      </c>
      <c r="H7" s="14"/>
      <c r="I7" s="10" t="str">
        <f t="shared" si="4"/>
        <v/>
      </c>
      <c r="J7" s="11"/>
      <c r="P7" s="12" t="str">
        <f t="shared" si="3"/>
        <v>Netherlands</v>
      </c>
      <c r="Q7" s="12" t="s">
        <v>12</v>
      </c>
      <c r="R7" s="12" t="s">
        <v>13</v>
      </c>
      <c r="S7" s="12" t="s">
        <v>14</v>
      </c>
      <c r="T7" s="12"/>
      <c r="U7" s="12"/>
      <c r="V7" s="12"/>
      <c r="W7" s="12"/>
      <c r="X7" s="12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 t="s">
        <v>11</v>
      </c>
      <c r="F8" s="7" t="s">
        <v>14</v>
      </c>
      <c r="G8" s="8">
        <v>8.0</v>
      </c>
      <c r="H8" s="14"/>
      <c r="I8" s="10" t="str">
        <f t="shared" si="4"/>
        <v/>
      </c>
      <c r="J8" s="11"/>
      <c r="P8" s="12" t="str">
        <f t="shared" si="3"/>
        <v>Netherlands</v>
      </c>
      <c r="Q8" s="12" t="s">
        <v>12</v>
      </c>
      <c r="R8" s="12" t="s">
        <v>13</v>
      </c>
      <c r="S8" s="12" t="s">
        <v>14</v>
      </c>
      <c r="T8" s="12"/>
      <c r="U8" s="12"/>
      <c r="V8" s="12"/>
      <c r="W8" s="12"/>
      <c r="X8" s="12"/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4"/>
        <v/>
      </c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11</v>
      </c>
      <c r="F13" s="7" t="s">
        <v>14</v>
      </c>
      <c r="G13" s="8">
        <v>8.0</v>
      </c>
      <c r="H13" s="14"/>
      <c r="I13" s="10" t="str">
        <f t="shared" si="4"/>
        <v/>
      </c>
      <c r="J13" s="11"/>
      <c r="P13" s="12" t="str">
        <f t="shared" si="3"/>
        <v>Netherlands</v>
      </c>
      <c r="Q13" s="12" t="s">
        <v>12</v>
      </c>
      <c r="R13" s="12" t="s">
        <v>13</v>
      </c>
      <c r="S13" s="12" t="s">
        <v>14</v>
      </c>
      <c r="T13" s="12"/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11</v>
      </c>
      <c r="F14" s="7" t="s">
        <v>14</v>
      </c>
      <c r="G14" s="8">
        <v>4.0</v>
      </c>
      <c r="H14" s="14"/>
      <c r="I14" s="10" t="str">
        <f t="shared" si="4"/>
        <v/>
      </c>
      <c r="J14" s="11"/>
      <c r="P14" s="12" t="str">
        <f t="shared" si="3"/>
        <v>Netherlands</v>
      </c>
      <c r="Q14" s="12" t="s">
        <v>12</v>
      </c>
      <c r="R14" s="12" t="s">
        <v>13</v>
      </c>
      <c r="S14" s="12" t="s">
        <v>14</v>
      </c>
      <c r="T14" s="12"/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 t="s">
        <v>11</v>
      </c>
      <c r="F16" s="7" t="s">
        <v>14</v>
      </c>
      <c r="G16" s="8">
        <v>8.0</v>
      </c>
      <c r="H16" s="14"/>
      <c r="I16" s="10" t="str">
        <f t="shared" si="4"/>
        <v/>
      </c>
      <c r="J16" s="11"/>
      <c r="P16" s="12" t="str">
        <f t="shared" si="3"/>
        <v>Netherlands</v>
      </c>
      <c r="Q16" s="12" t="s">
        <v>12</v>
      </c>
      <c r="R16" s="12" t="s">
        <v>13</v>
      </c>
      <c r="S16" s="12" t="s">
        <v>14</v>
      </c>
      <c r="T16" s="12"/>
      <c r="U16" s="12"/>
      <c r="V16" s="12"/>
      <c r="W16" s="12"/>
      <c r="X16" s="12"/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11</v>
      </c>
      <c r="F20" s="7" t="s">
        <v>13</v>
      </c>
      <c r="G20" s="8">
        <v>8.0</v>
      </c>
      <c r="H20" s="9">
        <v>20.0</v>
      </c>
      <c r="I20" s="10">
        <f t="shared" si="4"/>
        <v>24</v>
      </c>
      <c r="J20" s="11"/>
      <c r="P20" s="12" t="str">
        <f t="shared" si="3"/>
        <v>Netherlands</v>
      </c>
      <c r="Q20" s="12" t="s">
        <v>12</v>
      </c>
      <c r="R20" s="12" t="s">
        <v>13</v>
      </c>
      <c r="S20" s="12" t="s">
        <v>14</v>
      </c>
      <c r="T20" s="12"/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11</v>
      </c>
      <c r="F21" s="7" t="s">
        <v>13</v>
      </c>
      <c r="G21" s="8">
        <v>4.0</v>
      </c>
      <c r="H21" s="9">
        <v>12.0</v>
      </c>
      <c r="I21" s="10">
        <f t="shared" si="4"/>
        <v>20</v>
      </c>
      <c r="J21" s="11"/>
      <c r="P21" s="12" t="str">
        <f t="shared" si="3"/>
        <v>Netherlands</v>
      </c>
      <c r="Q21" s="12" t="s">
        <v>12</v>
      </c>
      <c r="R21" s="12" t="s">
        <v>13</v>
      </c>
      <c r="S21" s="12" t="s">
        <v>14</v>
      </c>
      <c r="T21" s="12"/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11</v>
      </c>
      <c r="F22" s="7" t="s">
        <v>13</v>
      </c>
      <c r="G22" s="8">
        <v>8.0</v>
      </c>
      <c r="H22" s="9">
        <v>28.0</v>
      </c>
      <c r="I22" s="10">
        <f t="shared" si="4"/>
        <v>17.14285714</v>
      </c>
      <c r="J22" s="11"/>
      <c r="P22" s="12" t="str">
        <f t="shared" si="3"/>
        <v>Netherlands</v>
      </c>
      <c r="Q22" s="12" t="s">
        <v>12</v>
      </c>
      <c r="R22" s="12" t="s">
        <v>13</v>
      </c>
      <c r="S22" s="12" t="s">
        <v>14</v>
      </c>
      <c r="T22" s="12"/>
      <c r="U22" s="12"/>
      <c r="V22" s="12"/>
      <c r="W22" s="12"/>
      <c r="X22" s="12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11</v>
      </c>
      <c r="F27" s="7" t="s">
        <v>13</v>
      </c>
      <c r="G27" s="8">
        <v>8.0</v>
      </c>
      <c r="H27" s="9">
        <v>31.0</v>
      </c>
      <c r="I27" s="10">
        <f t="shared" si="4"/>
        <v>15.48387097</v>
      </c>
      <c r="J27" s="11"/>
      <c r="P27" s="12" t="str">
        <f t="shared" si="3"/>
        <v>Netherlands</v>
      </c>
      <c r="Q27" s="12" t="s">
        <v>12</v>
      </c>
      <c r="R27" s="12" t="s">
        <v>13</v>
      </c>
      <c r="S27" s="12" t="s">
        <v>14</v>
      </c>
      <c r="T27" s="12"/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11</v>
      </c>
      <c r="F28" s="7" t="s">
        <v>13</v>
      </c>
      <c r="G28" s="8">
        <v>4.0</v>
      </c>
      <c r="H28" s="9">
        <v>15.0</v>
      </c>
      <c r="I28" s="10">
        <f t="shared" si="4"/>
        <v>16</v>
      </c>
      <c r="J28" s="11"/>
      <c r="P28" s="12" t="str">
        <f t="shared" si="3"/>
        <v>Netherlands</v>
      </c>
      <c r="Q28" s="12" t="s">
        <v>12</v>
      </c>
      <c r="R28" s="12" t="s">
        <v>13</v>
      </c>
      <c r="S28" s="12" t="s">
        <v>14</v>
      </c>
      <c r="T28" s="12"/>
      <c r="U28" s="12"/>
      <c r="V28" s="12"/>
      <c r="W28" s="12"/>
      <c r="X28" s="12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11</v>
      </c>
      <c r="F29" s="7" t="s">
        <v>13</v>
      </c>
      <c r="G29" s="8">
        <v>8.0</v>
      </c>
      <c r="H29" s="9">
        <v>26.0</v>
      </c>
      <c r="I29" s="10">
        <f t="shared" si="4"/>
        <v>18.46153846</v>
      </c>
      <c r="J29" s="11"/>
      <c r="P29" s="12" t="str">
        <f t="shared" si="3"/>
        <v>Netherlands</v>
      </c>
      <c r="Q29" s="12" t="s">
        <v>12</v>
      </c>
      <c r="R29" s="12" t="s">
        <v>13</v>
      </c>
      <c r="S29" s="12" t="s">
        <v>14</v>
      </c>
      <c r="T29" s="12"/>
      <c r="U29" s="12"/>
      <c r="V29" s="12"/>
      <c r="W29" s="12"/>
      <c r="X29" s="12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/>
      <c r="F30" s="7"/>
      <c r="G30" s="16"/>
      <c r="H30" s="14"/>
      <c r="I30" s="10" t="str">
        <f t="shared" si="4"/>
        <v/>
      </c>
      <c r="J30" s="11"/>
      <c r="P30" s="12" t="str">
        <f t="shared" si="3"/>
        <v/>
      </c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16"/>
      <c r="H33" s="14"/>
      <c r="I33" s="10" t="str">
        <f t="shared" si="4"/>
        <v/>
      </c>
      <c r="J33" s="11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11</v>
      </c>
      <c r="F34" s="7" t="s">
        <v>13</v>
      </c>
      <c r="G34" s="8">
        <v>8.0</v>
      </c>
      <c r="H34" s="9">
        <v>31.0</v>
      </c>
      <c r="I34" s="10">
        <f t="shared" si="4"/>
        <v>15.48387097</v>
      </c>
      <c r="J34" s="11"/>
      <c r="P34" s="12" t="str">
        <f t="shared" si="3"/>
        <v>Netherlands</v>
      </c>
      <c r="Q34" s="12" t="s">
        <v>12</v>
      </c>
      <c r="R34" s="12" t="s">
        <v>13</v>
      </c>
      <c r="S34" s="12" t="s">
        <v>14</v>
      </c>
      <c r="T34" s="12"/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/>
      <c r="F35" s="7"/>
      <c r="G35" s="16"/>
      <c r="H35" s="14"/>
      <c r="I35" s="10" t="str">
        <f t="shared" si="4"/>
        <v/>
      </c>
      <c r="J35" s="11"/>
      <c r="P35" s="12" t="str">
        <f t="shared" si="3"/>
        <v/>
      </c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 t="s">
        <v>11</v>
      </c>
      <c r="F37" s="7" t="s">
        <v>13</v>
      </c>
      <c r="G37" s="8">
        <v>8.0</v>
      </c>
      <c r="H37" s="9">
        <v>24.0</v>
      </c>
      <c r="I37" s="10">
        <f t="shared" si="4"/>
        <v>20</v>
      </c>
      <c r="J37" s="11"/>
      <c r="P37" s="12" t="str">
        <f t="shared" si="3"/>
        <v>Netherlands</v>
      </c>
      <c r="Q37" s="12" t="s">
        <v>12</v>
      </c>
      <c r="R37" s="12" t="s">
        <v>13</v>
      </c>
      <c r="S37" s="12" t="s">
        <v>14</v>
      </c>
      <c r="T37" s="12"/>
      <c r="U37" s="12"/>
      <c r="V37" s="12"/>
      <c r="W37" s="12"/>
      <c r="X37" s="12"/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 t="s">
        <v>11</v>
      </c>
      <c r="F41" s="7" t="s">
        <v>13</v>
      </c>
      <c r="G41" s="8">
        <v>8.0</v>
      </c>
      <c r="H41" s="9">
        <v>29.0</v>
      </c>
      <c r="I41" s="10">
        <f t="shared" si="4"/>
        <v>16.55172414</v>
      </c>
      <c r="J41" s="11"/>
      <c r="P41" s="12" t="str">
        <f t="shared" si="3"/>
        <v>Netherlands</v>
      </c>
      <c r="Q41" s="12" t="s">
        <v>12</v>
      </c>
      <c r="R41" s="12" t="s">
        <v>13</v>
      </c>
      <c r="S41" s="12" t="s">
        <v>14</v>
      </c>
      <c r="T41" s="12"/>
      <c r="U41" s="12"/>
      <c r="V41" s="12"/>
      <c r="W41" s="12"/>
      <c r="X41" s="12"/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 t="s">
        <v>13</v>
      </c>
      <c r="G42" s="8">
        <v>4.0</v>
      </c>
      <c r="H42" s="9">
        <v>16.0</v>
      </c>
      <c r="I42" s="10">
        <f t="shared" si="4"/>
        <v>15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11</v>
      </c>
      <c r="F43" s="7" t="s">
        <v>13</v>
      </c>
      <c r="G43" s="8"/>
      <c r="H43" s="9"/>
      <c r="I43" s="10" t="str">
        <f t="shared" si="4"/>
        <v/>
      </c>
      <c r="J43" s="11"/>
      <c r="P43" s="12" t="str">
        <f t="shared" si="3"/>
        <v>Netherlands</v>
      </c>
      <c r="Q43" s="12" t="s">
        <v>12</v>
      </c>
      <c r="R43" s="12" t="s">
        <v>13</v>
      </c>
      <c r="S43" s="12" t="s">
        <v>14</v>
      </c>
      <c r="T43" s="12"/>
      <c r="U43" s="12"/>
      <c r="V43" s="12"/>
      <c r="W43" s="12"/>
      <c r="X43" s="12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16"/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/>
      <c r="F47" s="7"/>
      <c r="G47" s="16"/>
      <c r="H47" s="14"/>
      <c r="I47" s="10" t="str">
        <f t="shared" si="4"/>
        <v/>
      </c>
      <c r="J47" s="11"/>
      <c r="P47" s="12" t="str">
        <f t="shared" si="3"/>
        <v/>
      </c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/>
      <c r="F48" s="7"/>
      <c r="G48" s="16"/>
      <c r="H48" s="14"/>
      <c r="I48" s="10" t="str">
        <f t="shared" si="4"/>
        <v/>
      </c>
      <c r="J48" s="11"/>
      <c r="P48" s="12" t="str">
        <f t="shared" si="3"/>
        <v/>
      </c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/>
      <c r="F49" s="7"/>
      <c r="G49" s="16"/>
      <c r="H49" s="14"/>
      <c r="I49" s="10" t="str">
        <f t="shared" si="4"/>
        <v/>
      </c>
      <c r="J49" s="11"/>
      <c r="P49" s="12" t="str">
        <f t="shared" si="3"/>
        <v/>
      </c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/>
      <c r="F5" s="7"/>
      <c r="G5" s="8"/>
      <c r="H5" s="14"/>
      <c r="I5" s="10" t="str">
        <f t="shared" si="4"/>
        <v/>
      </c>
      <c r="J5" s="11"/>
      <c r="P5" s="12" t="str">
        <f t="shared" si="3"/>
        <v/>
      </c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/>
      <c r="F6" s="7"/>
      <c r="G6" s="13"/>
      <c r="H6" s="14"/>
      <c r="I6" s="10" t="str">
        <f t="shared" si="4"/>
        <v/>
      </c>
      <c r="J6" s="11"/>
      <c r="P6" s="12" t="str">
        <f t="shared" si="3"/>
        <v/>
      </c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4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/>
      <c r="F12" s="7"/>
      <c r="G12" s="16"/>
      <c r="H12" s="14"/>
      <c r="I12" s="10" t="str">
        <f t="shared" si="4"/>
        <v/>
      </c>
      <c r="J12" s="11"/>
      <c r="P12" s="12" t="str">
        <f t="shared" si="3"/>
        <v/>
      </c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/>
      <c r="F13" s="7"/>
      <c r="G13" s="16"/>
      <c r="H13" s="14"/>
      <c r="I13" s="10" t="str">
        <f t="shared" si="4"/>
        <v/>
      </c>
      <c r="J13" s="11"/>
      <c r="P13" s="12" t="str">
        <f t="shared" si="3"/>
        <v/>
      </c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/>
      <c r="F14" s="7"/>
      <c r="G14" s="16"/>
      <c r="H14" s="14"/>
      <c r="I14" s="10" t="str">
        <f t="shared" si="4"/>
        <v/>
      </c>
      <c r="J14" s="11"/>
      <c r="P14" s="12" t="str">
        <f t="shared" si="3"/>
        <v/>
      </c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/>
      <c r="F19" s="7"/>
      <c r="G19" s="16"/>
      <c r="H19" s="14"/>
      <c r="I19" s="10" t="str">
        <f t="shared" si="4"/>
        <v/>
      </c>
      <c r="J19" s="11"/>
      <c r="P19" s="12" t="str">
        <f t="shared" si="3"/>
        <v/>
      </c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0" t="str">
        <f t="shared" si="4"/>
        <v/>
      </c>
      <c r="J20" s="11"/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/>
      <c r="F21" s="7"/>
      <c r="G21" s="16"/>
      <c r="H21" s="14"/>
      <c r="I21" s="10" t="str">
        <f t="shared" si="4"/>
        <v/>
      </c>
      <c r="J21" s="11"/>
      <c r="P21" s="12" t="str">
        <f t="shared" si="3"/>
        <v/>
      </c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/>
      <c r="F27" s="7"/>
      <c r="G27" s="16"/>
      <c r="H27" s="14"/>
      <c r="I27" s="10" t="str">
        <f t="shared" si="4"/>
        <v/>
      </c>
      <c r="J27" s="11"/>
      <c r="P27" s="12" t="str">
        <f t="shared" si="3"/>
        <v/>
      </c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16"/>
      <c r="H28" s="14"/>
      <c r="I28" s="10" t="str">
        <f t="shared" si="4"/>
        <v/>
      </c>
      <c r="J28" s="11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 t="s">
        <v>16</v>
      </c>
      <c r="F29" s="7" t="s">
        <v>17</v>
      </c>
      <c r="G29" s="8">
        <v>8.0</v>
      </c>
      <c r="H29" s="9">
        <v>70.0</v>
      </c>
      <c r="I29" s="10">
        <f t="shared" si="4"/>
        <v>6.857142857</v>
      </c>
      <c r="J29" s="11"/>
      <c r="P29" s="12" t="str">
        <f t="shared" si="3"/>
        <v>TPfC Phase 3</v>
      </c>
      <c r="Q29" s="12" t="s">
        <v>18</v>
      </c>
      <c r="R29" s="12"/>
      <c r="S29" s="12"/>
      <c r="T29" s="18"/>
      <c r="U29" s="18"/>
      <c r="V29" s="18"/>
      <c r="W29" s="18"/>
      <c r="X29" s="18"/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 t="s">
        <v>16</v>
      </c>
      <c r="F30" s="7" t="s">
        <v>17</v>
      </c>
      <c r="G30" s="8">
        <v>8.0</v>
      </c>
      <c r="H30" s="9">
        <v>60.0</v>
      </c>
      <c r="I30" s="10">
        <f t="shared" si="4"/>
        <v>8</v>
      </c>
      <c r="J30" s="11"/>
      <c r="P30" s="12" t="str">
        <f t="shared" si="3"/>
        <v>TPfC Phase 3</v>
      </c>
      <c r="Q30" s="12" t="s">
        <v>18</v>
      </c>
      <c r="R30" s="12"/>
      <c r="S30" s="12"/>
      <c r="T30" s="18"/>
      <c r="U30" s="18"/>
      <c r="V30" s="18"/>
      <c r="W30" s="18"/>
      <c r="X30" s="18"/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 t="s">
        <v>16</v>
      </c>
      <c r="F31" s="7" t="s">
        <v>17</v>
      </c>
      <c r="G31" s="8">
        <v>4.0</v>
      </c>
      <c r="H31" s="9">
        <v>30.0</v>
      </c>
      <c r="I31" s="10">
        <f t="shared" si="4"/>
        <v>8</v>
      </c>
      <c r="J31" s="11"/>
      <c r="P31" s="12" t="str">
        <f t="shared" si="3"/>
        <v>TPfC Phase 3</v>
      </c>
      <c r="Q31" s="12" t="s">
        <v>18</v>
      </c>
      <c r="R31" s="12"/>
      <c r="S31" s="12"/>
      <c r="T31" s="18"/>
      <c r="U31" s="18"/>
      <c r="V31" s="18"/>
      <c r="W31" s="18"/>
      <c r="X31" s="18"/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/>
      <c r="F33" s="7"/>
      <c r="G33" s="16"/>
      <c r="H33" s="14"/>
      <c r="I33" s="10" t="str">
        <f t="shared" si="4"/>
        <v/>
      </c>
      <c r="J33" s="11"/>
      <c r="P33" s="12" t="str">
        <f t="shared" si="3"/>
        <v/>
      </c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/>
      <c r="F34" s="7"/>
      <c r="G34" s="16"/>
      <c r="H34" s="14"/>
      <c r="I34" s="10" t="str">
        <f t="shared" si="4"/>
        <v/>
      </c>
      <c r="J34" s="11"/>
      <c r="P34" s="12" t="str">
        <f t="shared" si="3"/>
        <v/>
      </c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16</v>
      </c>
      <c r="F35" s="7" t="s">
        <v>17</v>
      </c>
      <c r="G35" s="8">
        <v>8.0</v>
      </c>
      <c r="H35" s="9">
        <v>25.0</v>
      </c>
      <c r="I35" s="10">
        <f t="shared" si="4"/>
        <v>19.2</v>
      </c>
      <c r="J35" s="11"/>
      <c r="P35" s="12" t="str">
        <f t="shared" si="3"/>
        <v>TPfC Phase 3</v>
      </c>
      <c r="Q35" s="12" t="s">
        <v>18</v>
      </c>
      <c r="R35" s="12"/>
      <c r="S35" s="12"/>
      <c r="T35" s="18"/>
      <c r="U35" s="18"/>
      <c r="V35" s="18"/>
      <c r="W35" s="18"/>
      <c r="X35" s="18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 t="s">
        <v>16</v>
      </c>
      <c r="F36" s="7" t="s">
        <v>17</v>
      </c>
      <c r="G36" s="8">
        <v>8.0</v>
      </c>
      <c r="H36" s="9">
        <v>42.0</v>
      </c>
      <c r="I36" s="10">
        <f t="shared" si="4"/>
        <v>11.42857143</v>
      </c>
      <c r="J36" s="11"/>
      <c r="P36" s="12" t="str">
        <f t="shared" si="3"/>
        <v>TPfC Phase 3</v>
      </c>
      <c r="Q36" s="12" t="s">
        <v>18</v>
      </c>
      <c r="R36" s="12"/>
      <c r="S36" s="12"/>
      <c r="T36" s="18"/>
      <c r="U36" s="18"/>
      <c r="V36" s="18"/>
      <c r="W36" s="18"/>
      <c r="X36" s="18"/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 t="s">
        <v>16</v>
      </c>
      <c r="F37" s="7" t="s">
        <v>17</v>
      </c>
      <c r="G37" s="8">
        <v>4.0</v>
      </c>
      <c r="H37" s="9">
        <v>37.0</v>
      </c>
      <c r="I37" s="10">
        <f t="shared" si="4"/>
        <v>6.486486486</v>
      </c>
      <c r="J37" s="11"/>
      <c r="P37" s="12" t="str">
        <f t="shared" si="3"/>
        <v>TPfC Phase 3</v>
      </c>
      <c r="Q37" s="12" t="s">
        <v>18</v>
      </c>
      <c r="R37" s="12"/>
      <c r="S37" s="12"/>
      <c r="T37" s="18"/>
      <c r="U37" s="18"/>
      <c r="V37" s="18"/>
      <c r="W37" s="18"/>
      <c r="X37" s="18"/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/>
      <c r="F41" s="7"/>
      <c r="G41" s="16"/>
      <c r="H41" s="14"/>
      <c r="I41" s="10" t="str">
        <f t="shared" si="4"/>
        <v/>
      </c>
      <c r="J41" s="11"/>
      <c r="P41" s="12" t="str">
        <f t="shared" si="3"/>
        <v/>
      </c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/>
      <c r="F42" s="7"/>
      <c r="G42" s="16"/>
      <c r="H42" s="14"/>
      <c r="I42" s="10" t="str">
        <f t="shared" si="4"/>
        <v/>
      </c>
      <c r="J42" s="11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/>
      <c r="F43" s="7"/>
      <c r="G43" s="16"/>
      <c r="H43" s="14"/>
      <c r="I43" s="10" t="str">
        <f t="shared" si="4"/>
        <v/>
      </c>
      <c r="J43" s="11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 t="s">
        <v>16</v>
      </c>
      <c r="F44" s="7" t="s">
        <v>17</v>
      </c>
      <c r="G44" s="8">
        <v>8.0</v>
      </c>
      <c r="H44" s="9">
        <v>46.0</v>
      </c>
      <c r="I44" s="10">
        <f t="shared" si="4"/>
        <v>10.43478261</v>
      </c>
      <c r="J44" s="11"/>
      <c r="P44" s="12" t="str">
        <f t="shared" si="3"/>
        <v>TPfC Phase 3</v>
      </c>
      <c r="Q44" s="12" t="s">
        <v>18</v>
      </c>
      <c r="R44" s="12"/>
      <c r="S44" s="12"/>
      <c r="T44" s="18"/>
      <c r="U44" s="18"/>
      <c r="V44" s="18"/>
      <c r="W44" s="18"/>
      <c r="X44" s="18"/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16</v>
      </c>
      <c r="F47" s="7" t="s">
        <v>17</v>
      </c>
      <c r="G47" s="8">
        <v>8.0</v>
      </c>
      <c r="H47" s="9">
        <v>39.0</v>
      </c>
      <c r="I47" s="10">
        <f t="shared" si="4"/>
        <v>12.30769231</v>
      </c>
      <c r="J47" s="11"/>
      <c r="P47" s="12" t="str">
        <f t="shared" si="3"/>
        <v>TPfC Phase 3</v>
      </c>
      <c r="Q47" s="12" t="s">
        <v>18</v>
      </c>
      <c r="R47" s="12"/>
      <c r="S47" s="12"/>
      <c r="T47" s="18"/>
      <c r="U47" s="18"/>
      <c r="V47" s="18"/>
      <c r="W47" s="18"/>
      <c r="X47" s="18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 t="s">
        <v>16</v>
      </c>
      <c r="F48" s="7" t="s">
        <v>17</v>
      </c>
      <c r="G48" s="8">
        <v>8.0</v>
      </c>
      <c r="H48" s="9">
        <v>45.0</v>
      </c>
      <c r="I48" s="10">
        <f t="shared" si="4"/>
        <v>10.66666667</v>
      </c>
      <c r="J48" s="11"/>
      <c r="P48" s="12" t="str">
        <f t="shared" si="3"/>
        <v>TPfC Phase 3</v>
      </c>
      <c r="Q48" s="12" t="s">
        <v>18</v>
      </c>
      <c r="R48" s="12"/>
      <c r="S48" s="12"/>
      <c r="T48" s="18"/>
      <c r="U48" s="18"/>
      <c r="V48" s="18"/>
      <c r="W48" s="18"/>
      <c r="X48" s="18"/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 t="s">
        <v>16</v>
      </c>
      <c r="F49" s="7" t="s">
        <v>17</v>
      </c>
      <c r="G49" s="8">
        <v>4.0</v>
      </c>
      <c r="H49" s="9">
        <v>23.0</v>
      </c>
      <c r="I49" s="10">
        <f t="shared" si="4"/>
        <v>10.43478261</v>
      </c>
      <c r="J49" s="11"/>
      <c r="P49" s="12" t="str">
        <f t="shared" si="3"/>
        <v>TPfC Phase 3</v>
      </c>
      <c r="Q49" s="12" t="s">
        <v>18</v>
      </c>
      <c r="R49" s="12"/>
      <c r="S49" s="12"/>
      <c r="T49" s="18"/>
      <c r="U49" s="18"/>
      <c r="V49" s="18"/>
      <c r="W49" s="18"/>
      <c r="X49" s="18"/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/>
      <c r="F54" s="7"/>
      <c r="G54" s="16"/>
      <c r="H54" s="14"/>
      <c r="I54" s="10" t="str">
        <f t="shared" si="4"/>
        <v/>
      </c>
      <c r="J54" s="11"/>
      <c r="P54" s="12" t="str">
        <f t="shared" si="3"/>
        <v/>
      </c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11</v>
      </c>
      <c r="F5" s="7" t="s">
        <v>46</v>
      </c>
      <c r="G5" s="8">
        <v>8.0</v>
      </c>
      <c r="H5" s="14"/>
      <c r="I5" s="10" t="str">
        <f t="shared" si="4"/>
        <v/>
      </c>
      <c r="J5" s="11"/>
      <c r="P5" s="12" t="str">
        <f t="shared" si="3"/>
        <v>Netherlands</v>
      </c>
      <c r="Q5" s="12" t="s">
        <v>12</v>
      </c>
      <c r="R5" s="12" t="s">
        <v>13</v>
      </c>
      <c r="S5" s="12" t="s">
        <v>14</v>
      </c>
      <c r="T5" s="12"/>
      <c r="U5" s="12"/>
      <c r="V5" s="12"/>
      <c r="W5" s="12"/>
      <c r="X5" s="12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11</v>
      </c>
      <c r="F6" s="7" t="s">
        <v>46</v>
      </c>
      <c r="G6" s="8">
        <v>8.0</v>
      </c>
      <c r="H6" s="14"/>
      <c r="I6" s="10" t="str">
        <f t="shared" si="4"/>
        <v/>
      </c>
      <c r="J6" s="11"/>
      <c r="P6" s="12" t="str">
        <f t="shared" si="3"/>
        <v>Netherlands</v>
      </c>
      <c r="Q6" s="12" t="s">
        <v>12</v>
      </c>
      <c r="R6" s="12" t="s">
        <v>13</v>
      </c>
      <c r="S6" s="12" t="s">
        <v>14</v>
      </c>
      <c r="T6" s="12"/>
      <c r="U6" s="12"/>
      <c r="V6" s="12"/>
      <c r="W6" s="12"/>
      <c r="X6" s="12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 t="s">
        <v>11</v>
      </c>
      <c r="F7" s="7" t="s">
        <v>46</v>
      </c>
      <c r="G7" s="8">
        <v>4.0</v>
      </c>
      <c r="H7" s="14"/>
      <c r="I7" s="10" t="str">
        <f t="shared" si="4"/>
        <v/>
      </c>
      <c r="J7" s="11"/>
      <c r="P7" s="12" t="str">
        <f t="shared" si="3"/>
        <v>Netherlands</v>
      </c>
      <c r="Q7" s="12" t="s">
        <v>12</v>
      </c>
      <c r="R7" s="12" t="s">
        <v>13</v>
      </c>
      <c r="S7" s="12" t="s">
        <v>14</v>
      </c>
      <c r="T7" s="12"/>
      <c r="U7" s="12"/>
      <c r="V7" s="12"/>
      <c r="W7" s="12"/>
      <c r="X7" s="12"/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13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/>
      <c r="F9" s="7"/>
      <c r="G9" s="13"/>
      <c r="H9" s="14"/>
      <c r="I9" s="10" t="str">
        <f t="shared" si="4"/>
        <v/>
      </c>
      <c r="J9" s="11"/>
      <c r="P9" s="12" t="str">
        <f t="shared" si="3"/>
        <v/>
      </c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11</v>
      </c>
      <c r="F12" s="7" t="s">
        <v>46</v>
      </c>
      <c r="G12" s="8">
        <v>8.0</v>
      </c>
      <c r="H12" s="14"/>
      <c r="I12" s="10" t="str">
        <f t="shared" si="4"/>
        <v/>
      </c>
      <c r="J12" s="11"/>
      <c r="P12" s="12" t="str">
        <f t="shared" si="3"/>
        <v>Netherlands</v>
      </c>
      <c r="Q12" s="12" t="s">
        <v>12</v>
      </c>
      <c r="R12" s="12" t="s">
        <v>13</v>
      </c>
      <c r="S12" s="12" t="s">
        <v>14</v>
      </c>
      <c r="T12" s="12"/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11</v>
      </c>
      <c r="F13" s="7" t="s">
        <v>13</v>
      </c>
      <c r="G13" s="8">
        <v>8.0</v>
      </c>
      <c r="H13" s="9">
        <v>20.0</v>
      </c>
      <c r="I13" s="10">
        <f t="shared" si="4"/>
        <v>24</v>
      </c>
      <c r="J13" s="11"/>
      <c r="P13" s="12" t="str">
        <f t="shared" si="3"/>
        <v>Netherlands</v>
      </c>
      <c r="Q13" s="12" t="s">
        <v>12</v>
      </c>
      <c r="R13" s="12" t="s">
        <v>13</v>
      </c>
      <c r="S13" s="12" t="s">
        <v>14</v>
      </c>
      <c r="T13" s="12"/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 t="s">
        <v>11</v>
      </c>
      <c r="F14" s="7" t="s">
        <v>13</v>
      </c>
      <c r="G14" s="8">
        <v>4.0</v>
      </c>
      <c r="H14" s="9">
        <v>11.0</v>
      </c>
      <c r="I14" s="10">
        <f t="shared" si="4"/>
        <v>21.81818182</v>
      </c>
      <c r="J14" s="11"/>
      <c r="P14" s="12" t="str">
        <f t="shared" si="3"/>
        <v>Netherlands</v>
      </c>
      <c r="Q14" s="12" t="s">
        <v>12</v>
      </c>
      <c r="R14" s="12" t="s">
        <v>13</v>
      </c>
      <c r="S14" s="12" t="s">
        <v>14</v>
      </c>
      <c r="T14" s="12"/>
      <c r="U14" s="12"/>
      <c r="V14" s="12"/>
      <c r="W14" s="12"/>
      <c r="X14" s="12"/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/>
      <c r="F16" s="7"/>
      <c r="G16" s="16"/>
      <c r="H16" s="14"/>
      <c r="I16" s="10" t="str">
        <f t="shared" si="4"/>
        <v/>
      </c>
      <c r="J16" s="11"/>
      <c r="P16" s="12" t="str">
        <f t="shared" si="3"/>
        <v/>
      </c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11</v>
      </c>
      <c r="F19" s="7" t="s">
        <v>13</v>
      </c>
      <c r="G19" s="8">
        <v>8.0</v>
      </c>
      <c r="H19" s="9">
        <v>19.0</v>
      </c>
      <c r="I19" s="10">
        <f t="shared" si="4"/>
        <v>25.26315789</v>
      </c>
      <c r="J19" s="11"/>
      <c r="P19" s="12" t="str">
        <f t="shared" si="3"/>
        <v>Netherlands</v>
      </c>
      <c r="Q19" s="12" t="s">
        <v>12</v>
      </c>
      <c r="R19" s="12" t="s">
        <v>13</v>
      </c>
      <c r="S19" s="12" t="s">
        <v>14</v>
      </c>
      <c r="T19" s="12"/>
      <c r="U19" s="12"/>
      <c r="V19" s="12"/>
      <c r="W19" s="12"/>
      <c r="X19" s="12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 t="s">
        <v>11</v>
      </c>
      <c r="F20" s="7" t="s">
        <v>13</v>
      </c>
      <c r="G20" s="8">
        <v>8.0</v>
      </c>
      <c r="H20" s="9">
        <v>20.0</v>
      </c>
      <c r="I20" s="10">
        <f t="shared" si="4"/>
        <v>24</v>
      </c>
      <c r="J20" s="11"/>
      <c r="P20" s="12" t="str">
        <f t="shared" si="3"/>
        <v>Netherlands</v>
      </c>
      <c r="Q20" s="12" t="s">
        <v>12</v>
      </c>
      <c r="R20" s="12" t="s">
        <v>13</v>
      </c>
      <c r="S20" s="12" t="s">
        <v>14</v>
      </c>
      <c r="T20" s="12"/>
      <c r="U20" s="12"/>
      <c r="V20" s="12"/>
      <c r="W20" s="12"/>
      <c r="X20" s="12"/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 t="s">
        <v>11</v>
      </c>
      <c r="F21" s="7" t="s">
        <v>13</v>
      </c>
      <c r="G21" s="8">
        <v>4.0</v>
      </c>
      <c r="H21" s="9">
        <v>12.0</v>
      </c>
      <c r="I21" s="10">
        <f t="shared" si="4"/>
        <v>20</v>
      </c>
      <c r="J21" s="11"/>
      <c r="P21" s="12" t="str">
        <f t="shared" si="3"/>
        <v>Netherlands</v>
      </c>
      <c r="Q21" s="12" t="s">
        <v>12</v>
      </c>
      <c r="R21" s="12" t="s">
        <v>13</v>
      </c>
      <c r="S21" s="12" t="s">
        <v>14</v>
      </c>
      <c r="T21" s="12"/>
      <c r="U21" s="12"/>
      <c r="V21" s="12"/>
      <c r="W21" s="12"/>
      <c r="X21" s="12"/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/>
      <c r="F22" s="7"/>
      <c r="G22" s="16"/>
      <c r="H22" s="14"/>
      <c r="I22" s="10" t="str">
        <f t="shared" si="4"/>
        <v/>
      </c>
      <c r="J22" s="11"/>
      <c r="P22" s="12" t="str">
        <f t="shared" si="3"/>
        <v/>
      </c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/>
      <c r="F23" s="7"/>
      <c r="G23" s="16"/>
      <c r="H23" s="14"/>
      <c r="I23" s="10" t="str">
        <f t="shared" si="4"/>
        <v/>
      </c>
      <c r="J23" s="11"/>
      <c r="P23" s="12" t="str">
        <f t="shared" si="3"/>
        <v/>
      </c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/>
      <c r="F27" s="7"/>
      <c r="G27" s="8" t="s">
        <v>47</v>
      </c>
      <c r="H27" s="14"/>
      <c r="I27" s="10" t="str">
        <f t="shared" si="4"/>
        <v/>
      </c>
      <c r="J27" s="11"/>
      <c r="P27" s="12" t="str">
        <f t="shared" si="3"/>
        <v/>
      </c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/>
      <c r="F28" s="7"/>
      <c r="G28" s="8" t="s">
        <v>47</v>
      </c>
      <c r="H28" s="14"/>
      <c r="I28" s="10" t="str">
        <f t="shared" si="4"/>
        <v/>
      </c>
      <c r="J28" s="11"/>
      <c r="P28" s="12" t="str">
        <f t="shared" si="3"/>
        <v/>
      </c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/>
      <c r="F29" s="7"/>
      <c r="G29" s="8" t="s">
        <v>47</v>
      </c>
      <c r="H29" s="14"/>
      <c r="I29" s="10" t="str">
        <f t="shared" si="4"/>
        <v/>
      </c>
      <c r="J29" s="11"/>
      <c r="P29" s="12" t="str">
        <f t="shared" si="3"/>
        <v/>
      </c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 t="s">
        <v>11</v>
      </c>
      <c r="F30" s="7" t="s">
        <v>13</v>
      </c>
      <c r="G30" s="8">
        <v>8.0</v>
      </c>
      <c r="H30" s="9">
        <v>19.0</v>
      </c>
      <c r="I30" s="10">
        <f t="shared" si="4"/>
        <v>25.26315789</v>
      </c>
      <c r="J30" s="11"/>
      <c r="P30" s="12" t="str">
        <f t="shared" si="3"/>
        <v>Netherlands</v>
      </c>
      <c r="Q30" s="12" t="s">
        <v>12</v>
      </c>
      <c r="R30" s="12" t="s">
        <v>13</v>
      </c>
      <c r="S30" s="12" t="s">
        <v>14</v>
      </c>
      <c r="T30" s="12"/>
      <c r="U30" s="12"/>
      <c r="V30" s="12"/>
      <c r="W30" s="12"/>
      <c r="X30" s="12"/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11</v>
      </c>
      <c r="F33" s="7" t="s">
        <v>13</v>
      </c>
      <c r="G33" s="8">
        <v>8.0</v>
      </c>
      <c r="H33" s="9">
        <v>19.0</v>
      </c>
      <c r="I33" s="10">
        <f t="shared" si="4"/>
        <v>25.26315789</v>
      </c>
      <c r="J33" s="11"/>
      <c r="P33" s="12" t="str">
        <f t="shared" si="3"/>
        <v>Netherlands</v>
      </c>
      <c r="Q33" s="12" t="s">
        <v>12</v>
      </c>
      <c r="R33" s="12" t="s">
        <v>13</v>
      </c>
      <c r="S33" s="12" t="s">
        <v>14</v>
      </c>
      <c r="T33" s="12"/>
      <c r="U33" s="12"/>
      <c r="V33" s="12"/>
      <c r="W33" s="12"/>
      <c r="X33" s="12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11</v>
      </c>
      <c r="F34" s="7" t="s">
        <v>13</v>
      </c>
      <c r="G34" s="8">
        <v>8.0</v>
      </c>
      <c r="H34" s="9">
        <v>21.0</v>
      </c>
      <c r="I34" s="10">
        <f t="shared" si="4"/>
        <v>22.85714286</v>
      </c>
      <c r="J34" s="11"/>
      <c r="P34" s="12" t="str">
        <f t="shared" si="3"/>
        <v>Netherlands</v>
      </c>
      <c r="Q34" s="12" t="s">
        <v>12</v>
      </c>
      <c r="R34" s="12" t="s">
        <v>13</v>
      </c>
      <c r="S34" s="12" t="s">
        <v>14</v>
      </c>
      <c r="T34" s="12"/>
      <c r="U34" s="12"/>
      <c r="V34" s="12"/>
      <c r="W34" s="12"/>
      <c r="X34" s="12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11</v>
      </c>
      <c r="F35" s="7" t="s">
        <v>13</v>
      </c>
      <c r="G35" s="8">
        <v>4.0</v>
      </c>
      <c r="H35" s="9">
        <v>13.0</v>
      </c>
      <c r="I35" s="10">
        <f t="shared" si="4"/>
        <v>18.46153846</v>
      </c>
      <c r="J35" s="11"/>
      <c r="P35" s="12" t="str">
        <f t="shared" si="3"/>
        <v>Netherlands</v>
      </c>
      <c r="Q35" s="12" t="s">
        <v>12</v>
      </c>
      <c r="R35" s="12" t="s">
        <v>13</v>
      </c>
      <c r="S35" s="12" t="s">
        <v>14</v>
      </c>
      <c r="T35" s="12"/>
      <c r="U35" s="12"/>
      <c r="V35" s="12"/>
      <c r="W35" s="12"/>
      <c r="X35" s="12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16"/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/>
      <c r="F41" s="7"/>
      <c r="G41" s="16"/>
      <c r="H41" s="14"/>
      <c r="I41" s="10" t="str">
        <f t="shared" si="4"/>
        <v/>
      </c>
      <c r="J41" s="11"/>
      <c r="P41" s="12" t="str">
        <f t="shared" si="3"/>
        <v/>
      </c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 t="s">
        <v>11</v>
      </c>
      <c r="F42" s="7"/>
      <c r="G42" s="8">
        <v>4.0</v>
      </c>
      <c r="H42" s="9">
        <v>13.0</v>
      </c>
      <c r="I42" s="10">
        <f t="shared" si="4"/>
        <v>18.46153846</v>
      </c>
      <c r="J42" s="11"/>
      <c r="P42" s="12" t="str">
        <f t="shared" si="3"/>
        <v>Netherlands</v>
      </c>
      <c r="Q42" s="12" t="s">
        <v>12</v>
      </c>
      <c r="R42" s="12" t="s">
        <v>13</v>
      </c>
      <c r="S42" s="12" t="s">
        <v>14</v>
      </c>
      <c r="T42" s="12"/>
      <c r="U42" s="12"/>
      <c r="V42" s="12"/>
      <c r="W42" s="12"/>
      <c r="X42" s="12"/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 t="s">
        <v>11</v>
      </c>
      <c r="F43" s="7" t="s">
        <v>13</v>
      </c>
      <c r="G43" s="8">
        <v>8.0</v>
      </c>
      <c r="H43" s="9">
        <v>23.0</v>
      </c>
      <c r="I43" s="10">
        <f t="shared" si="4"/>
        <v>20.86956522</v>
      </c>
      <c r="J43" s="11"/>
      <c r="P43" s="12" t="str">
        <f t="shared" si="3"/>
        <v>Netherlands</v>
      </c>
      <c r="Q43" s="12" t="s">
        <v>12</v>
      </c>
      <c r="R43" s="12" t="s">
        <v>13</v>
      </c>
      <c r="S43" s="12" t="s">
        <v>14</v>
      </c>
      <c r="T43" s="12"/>
      <c r="U43" s="12"/>
      <c r="V43" s="12"/>
      <c r="W43" s="12"/>
      <c r="X43" s="12"/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 t="s">
        <v>11</v>
      </c>
      <c r="F44" s="7" t="s">
        <v>13</v>
      </c>
      <c r="G44" s="8">
        <v>8.0</v>
      </c>
      <c r="H44" s="9">
        <v>25.0</v>
      </c>
      <c r="I44" s="10">
        <f t="shared" si="4"/>
        <v>19.2</v>
      </c>
      <c r="J44" s="11"/>
      <c r="P44" s="12" t="str">
        <f t="shared" si="3"/>
        <v>Netherlands</v>
      </c>
      <c r="Q44" s="12" t="s">
        <v>12</v>
      </c>
      <c r="R44" s="12" t="s">
        <v>13</v>
      </c>
      <c r="S44" s="12" t="s">
        <v>14</v>
      </c>
      <c r="T44" s="12"/>
      <c r="U44" s="12"/>
      <c r="V44" s="12"/>
      <c r="W44" s="12"/>
      <c r="X44" s="12"/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8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11</v>
      </c>
      <c r="F47" s="7" t="s">
        <v>13</v>
      </c>
      <c r="G47" s="8">
        <v>8.0</v>
      </c>
      <c r="H47" s="9">
        <v>22.0</v>
      </c>
      <c r="I47" s="10">
        <f t="shared" si="4"/>
        <v>21.81818182</v>
      </c>
      <c r="J47" s="11"/>
      <c r="P47" s="12" t="str">
        <f t="shared" si="3"/>
        <v>Netherlands</v>
      </c>
      <c r="Q47" s="12" t="s">
        <v>12</v>
      </c>
      <c r="R47" s="12" t="s">
        <v>13</v>
      </c>
      <c r="S47" s="12" t="s">
        <v>14</v>
      </c>
      <c r="T47" s="12"/>
      <c r="U47" s="12"/>
      <c r="V47" s="12"/>
      <c r="W47" s="12"/>
      <c r="X47" s="12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/>
      <c r="F48" s="7"/>
      <c r="G48" s="16"/>
      <c r="H48" s="14"/>
      <c r="I48" s="10" t="str">
        <f t="shared" si="4"/>
        <v/>
      </c>
      <c r="J48" s="11"/>
      <c r="P48" s="12" t="str">
        <f t="shared" si="3"/>
        <v/>
      </c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/>
      <c r="F49" s="7"/>
      <c r="G49" s="16"/>
      <c r="H49" s="14"/>
      <c r="I49" s="10" t="str">
        <f t="shared" si="4"/>
        <v/>
      </c>
      <c r="J49" s="11"/>
      <c r="P49" s="12" t="str">
        <f t="shared" si="3"/>
        <v/>
      </c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/>
      <c r="F50" s="7"/>
      <c r="G50" s="16"/>
      <c r="H50" s="14"/>
      <c r="I50" s="10" t="str">
        <f t="shared" si="4"/>
        <v/>
      </c>
      <c r="J50" s="11"/>
      <c r="P50" s="12" t="str">
        <f t="shared" si="3"/>
        <v/>
      </c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/>
      <c r="F51" s="7"/>
      <c r="G51" s="16"/>
      <c r="H51" s="14"/>
      <c r="I51" s="10" t="str">
        <f t="shared" si="4"/>
        <v/>
      </c>
      <c r="J51" s="11"/>
      <c r="P51" s="12" t="str">
        <f t="shared" si="3"/>
        <v/>
      </c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11</v>
      </c>
      <c r="F54" s="7" t="s">
        <v>13</v>
      </c>
      <c r="G54" s="8">
        <v>10.0</v>
      </c>
      <c r="H54" s="9">
        <v>28.0</v>
      </c>
      <c r="I54" s="10">
        <f t="shared" si="4"/>
        <v>21.42857143</v>
      </c>
      <c r="J54" s="11"/>
      <c r="P54" s="12" t="str">
        <f t="shared" si="3"/>
        <v>Netherlands</v>
      </c>
      <c r="Q54" s="12" t="s">
        <v>12</v>
      </c>
      <c r="R54" s="12" t="s">
        <v>13</v>
      </c>
      <c r="S54" s="12" t="s">
        <v>14</v>
      </c>
      <c r="T54" s="12"/>
      <c r="U54" s="12"/>
      <c r="V54" s="12"/>
      <c r="W54" s="12"/>
      <c r="X54" s="12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/>
      <c r="F57" s="7"/>
      <c r="G57" s="16"/>
      <c r="H57" s="14"/>
      <c r="I57" s="10" t="str">
        <f t="shared" si="4"/>
        <v/>
      </c>
      <c r="J57" s="11"/>
      <c r="P57" s="12" t="str">
        <f t="shared" si="3"/>
        <v/>
      </c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/>
      <c r="F58" s="7"/>
      <c r="G58" s="16"/>
      <c r="H58" s="14"/>
      <c r="I58" s="10" t="str">
        <f t="shared" si="4"/>
        <v/>
      </c>
      <c r="J58" s="11"/>
      <c r="P58" s="12" t="str">
        <f t="shared" si="3"/>
        <v/>
      </c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hidden="1" min="2" max="2" width="21.13"/>
    <col customWidth="1" min="3" max="3" width="10.75"/>
    <col customWidth="1" min="4" max="4" width="19.5"/>
    <col customWidth="1" min="5" max="5" width="18.75"/>
    <col customWidth="1" min="6" max="6" width="18.13"/>
    <col customWidth="1" min="7" max="7" width="19.38"/>
    <col customWidth="1" min="8" max="8" width="17.63"/>
    <col customWidth="1" min="9" max="9" width="22.5"/>
    <col customWidth="1" min="10" max="10" width="25.63"/>
    <col hidden="1" min="16" max="26" width="12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15</v>
      </c>
      <c r="I1" s="4" t="s">
        <v>8</v>
      </c>
      <c r="J1" s="1" t="s">
        <v>9</v>
      </c>
    </row>
    <row r="2" ht="22.5" customHeight="1">
      <c r="A2" s="5">
        <f t="shared" ref="A2:A246" si="1">WEEKNUM(D2,2)</f>
        <v>18</v>
      </c>
      <c r="B2" s="6" t="str">
        <f>IF(OR(WEEKDAY(D2)=1, WEEKDAY(D2)=7), TEXT(D2, "dddd"), IF(COUNTIF(Reference!$A$13:$A$27, D2) &gt; 0, "Holiday", TEXT(D2, "dddd")))</f>
        <v>Holiday</v>
      </c>
      <c r="C2" s="6" t="str">
        <f t="shared" ref="C2:C246" si="2">TEXT(D2,"dddd")</f>
        <v>Friday</v>
      </c>
      <c r="D2" s="6">
        <v>46143.0</v>
      </c>
      <c r="E2" s="7"/>
      <c r="F2" s="7"/>
      <c r="G2" s="8"/>
      <c r="H2" s="9"/>
      <c r="I2" s="10"/>
      <c r="J2" s="11"/>
      <c r="P2" s="12" t="str">
        <f t="shared" ref="P2:P246" si="3">IF(ISBLANK(E2), "", TRANSPOSE(INDIRECT(E2)))</f>
        <v/>
      </c>
    </row>
    <row r="3" ht="22.5" customHeight="1">
      <c r="A3" s="5">
        <f t="shared" si="1"/>
        <v>18</v>
      </c>
      <c r="B3" s="6" t="str">
        <f>IF(OR(WEEKDAY(D3)=1, WEEKDAY(D3)=7), TEXT(D3, "dddd"), IF(COUNTIF(Reference!$A$13:$A$27, D3) &gt; 0, "Holiday", TEXT(D3, "dddd")))</f>
        <v>Saturday</v>
      </c>
      <c r="C3" s="6" t="str">
        <f t="shared" si="2"/>
        <v>Saturday</v>
      </c>
      <c r="D3" s="6">
        <v>46144.0</v>
      </c>
      <c r="E3" s="7"/>
      <c r="F3" s="7"/>
      <c r="G3" s="13"/>
      <c r="H3" s="14"/>
      <c r="I3" s="10" t="str">
        <f t="shared" ref="I3:I246" si="4">IFERROR((G3/H3)*60, "")</f>
        <v/>
      </c>
      <c r="J3" s="11"/>
      <c r="P3" s="12" t="str">
        <f t="shared" si="3"/>
        <v/>
      </c>
    </row>
    <row r="4" ht="22.5" customHeight="1">
      <c r="A4" s="5">
        <f t="shared" si="1"/>
        <v>18</v>
      </c>
      <c r="B4" s="6" t="str">
        <f>IF(OR(WEEKDAY(D4)=1, WEEKDAY(D4)=7), TEXT(D4, "dddd"), IF(COUNTIF(Reference!$A$13:$A$27, D4) &gt; 0, "Holiday", TEXT(D4, "dddd")))</f>
        <v>Sunday</v>
      </c>
      <c r="C4" s="6" t="str">
        <f t="shared" si="2"/>
        <v>Sunday</v>
      </c>
      <c r="D4" s="6">
        <v>46145.0</v>
      </c>
      <c r="E4" s="7"/>
      <c r="F4" s="7"/>
      <c r="G4" s="8"/>
      <c r="H4" s="14"/>
      <c r="I4" s="10" t="str">
        <f t="shared" si="4"/>
        <v/>
      </c>
      <c r="J4" s="11"/>
      <c r="P4" s="12" t="str">
        <f t="shared" si="3"/>
        <v/>
      </c>
    </row>
    <row r="5" ht="22.5" customHeight="1">
      <c r="A5" s="5">
        <f t="shared" si="1"/>
        <v>19</v>
      </c>
      <c r="B5" s="6" t="str">
        <f>IF(OR(WEEKDAY(D5)=1, WEEKDAY(D5)=7), TEXT(D5, "dddd"), IF(COUNTIF(Reference!$A$13:$A$27, D5) &gt; 0, "Holiday", TEXT(D5, "dddd")))</f>
        <v>Monday</v>
      </c>
      <c r="C5" s="6" t="str">
        <f t="shared" si="2"/>
        <v>Monday</v>
      </c>
      <c r="D5" s="6">
        <v>46146.0</v>
      </c>
      <c r="E5" s="7" t="s">
        <v>21</v>
      </c>
      <c r="F5" s="7" t="s">
        <v>22</v>
      </c>
      <c r="G5" s="8">
        <v>8.0</v>
      </c>
      <c r="H5" s="9">
        <v>58.0</v>
      </c>
      <c r="I5" s="10">
        <f t="shared" si="4"/>
        <v>8.275862069</v>
      </c>
      <c r="J5" s="11"/>
      <c r="P5" s="12" t="str">
        <f t="shared" si="3"/>
        <v>Audi Crossings QC</v>
      </c>
      <c r="Q5" s="12" t="s">
        <v>24</v>
      </c>
      <c r="R5" s="12" t="s">
        <v>25</v>
      </c>
      <c r="S5" s="12" t="s">
        <v>26</v>
      </c>
      <c r="T5" s="12" t="s">
        <v>27</v>
      </c>
      <c r="U5" s="12"/>
      <c r="V5" s="12"/>
      <c r="W5" s="12"/>
      <c r="X5" s="12"/>
    </row>
    <row r="6" ht="22.5" customHeight="1">
      <c r="A6" s="5">
        <f t="shared" si="1"/>
        <v>19</v>
      </c>
      <c r="B6" s="6" t="str">
        <f>IF(OR(WEEKDAY(D6)=1, WEEKDAY(D6)=7), TEXT(D6, "dddd"), IF(COUNTIF(Reference!$A$13:$A$27, D6) &gt; 0, "Holiday", TEXT(D6, "dddd")))</f>
        <v>Tuesday</v>
      </c>
      <c r="C6" s="6" t="str">
        <f t="shared" si="2"/>
        <v>Tuesday</v>
      </c>
      <c r="D6" s="6">
        <v>46147.0</v>
      </c>
      <c r="E6" s="7" t="s">
        <v>21</v>
      </c>
      <c r="F6" s="7" t="s">
        <v>22</v>
      </c>
      <c r="G6" s="8">
        <v>8.0</v>
      </c>
      <c r="H6" s="9">
        <v>56.0</v>
      </c>
      <c r="I6" s="10">
        <f t="shared" si="4"/>
        <v>8.571428571</v>
      </c>
      <c r="J6" s="11"/>
      <c r="P6" s="12" t="str">
        <f t="shared" si="3"/>
        <v>Audi Crossings QC</v>
      </c>
      <c r="Q6" s="12" t="s">
        <v>24</v>
      </c>
      <c r="R6" s="12" t="s">
        <v>25</v>
      </c>
      <c r="S6" s="12" t="s">
        <v>26</v>
      </c>
      <c r="T6" s="12" t="s">
        <v>27</v>
      </c>
      <c r="U6" s="12"/>
      <c r="V6" s="12"/>
      <c r="W6" s="12"/>
      <c r="X6" s="12"/>
    </row>
    <row r="7" ht="22.5" customHeight="1">
      <c r="A7" s="5">
        <f t="shared" si="1"/>
        <v>19</v>
      </c>
      <c r="B7" s="6" t="str">
        <f>IF(OR(WEEKDAY(D7)=1, WEEKDAY(D7)=7), TEXT(D7, "dddd"), IF(COUNTIF(Reference!$A$13:$A$27, D7) &gt; 0, "Holiday", TEXT(D7, "dddd")))</f>
        <v>Wednesday</v>
      </c>
      <c r="C7" s="6" t="str">
        <f t="shared" si="2"/>
        <v>Wednesday</v>
      </c>
      <c r="D7" s="6">
        <v>46148.0</v>
      </c>
      <c r="E7" s="7"/>
      <c r="F7" s="7"/>
      <c r="G7" s="13"/>
      <c r="H7" s="14"/>
      <c r="I7" s="10" t="str">
        <f t="shared" si="4"/>
        <v/>
      </c>
      <c r="J7" s="11"/>
      <c r="P7" s="12" t="str">
        <f t="shared" si="3"/>
        <v/>
      </c>
    </row>
    <row r="8" ht="22.5" customHeight="1">
      <c r="A8" s="5">
        <f t="shared" si="1"/>
        <v>19</v>
      </c>
      <c r="B8" s="6" t="str">
        <f>IF(OR(WEEKDAY(D8)=1, WEEKDAY(D8)=7), TEXT(D8, "dddd"), IF(COUNTIF(Reference!$A$13:$A$27, D8) &gt; 0, "Holiday", TEXT(D8, "dddd")))</f>
        <v>Thursday</v>
      </c>
      <c r="C8" s="6" t="str">
        <f t="shared" si="2"/>
        <v>Thursday</v>
      </c>
      <c r="D8" s="6">
        <v>46149.0</v>
      </c>
      <c r="E8" s="7"/>
      <c r="F8" s="7"/>
      <c r="G8" s="8"/>
      <c r="H8" s="14"/>
      <c r="I8" s="10" t="str">
        <f t="shared" si="4"/>
        <v/>
      </c>
      <c r="J8" s="11"/>
      <c r="P8" s="12" t="str">
        <f t="shared" si="3"/>
        <v/>
      </c>
    </row>
    <row r="9" ht="22.5" customHeight="1">
      <c r="A9" s="5">
        <f t="shared" si="1"/>
        <v>19</v>
      </c>
      <c r="B9" s="6" t="str">
        <f>IF(OR(WEEKDAY(D9)=1, WEEKDAY(D9)=7), TEXT(D9, "dddd"), IF(COUNTIF(Reference!$A$13:$A$27, D9) &gt; 0, "Holiday", TEXT(D9, "dddd")))</f>
        <v>Friday</v>
      </c>
      <c r="C9" s="6" t="str">
        <f t="shared" si="2"/>
        <v>Friday</v>
      </c>
      <c r="D9" s="6">
        <v>46150.0</v>
      </c>
      <c r="E9" s="7" t="s">
        <v>21</v>
      </c>
      <c r="F9" s="7" t="s">
        <v>22</v>
      </c>
      <c r="G9" s="8">
        <v>4.0</v>
      </c>
      <c r="H9" s="9">
        <v>27.0</v>
      </c>
      <c r="I9" s="10">
        <f t="shared" si="4"/>
        <v>8.888888889</v>
      </c>
      <c r="J9" s="11"/>
      <c r="P9" s="12" t="str">
        <f t="shared" si="3"/>
        <v>Audi Crossings QC</v>
      </c>
      <c r="Q9" s="12" t="s">
        <v>24</v>
      </c>
      <c r="R9" s="12" t="s">
        <v>25</v>
      </c>
      <c r="S9" s="12" t="s">
        <v>26</v>
      </c>
      <c r="T9" s="12" t="s">
        <v>27</v>
      </c>
      <c r="U9" s="12"/>
      <c r="V9" s="12"/>
      <c r="W9" s="12"/>
      <c r="X9" s="12"/>
    </row>
    <row r="10" ht="22.5" customHeight="1">
      <c r="A10" s="5">
        <f t="shared" si="1"/>
        <v>19</v>
      </c>
      <c r="B10" s="6" t="str">
        <f>IF(OR(WEEKDAY(D10)=1, WEEKDAY(D10)=7), TEXT(D10, "dddd"), IF(COUNTIF(Reference!$A$13:$A$27, D10) &gt; 0, "Holiday", TEXT(D10, "dddd")))</f>
        <v>Saturday</v>
      </c>
      <c r="C10" s="6" t="str">
        <f t="shared" si="2"/>
        <v>Saturday</v>
      </c>
      <c r="D10" s="6">
        <v>46151.0</v>
      </c>
      <c r="E10" s="7"/>
      <c r="F10" s="7"/>
      <c r="G10" s="16"/>
      <c r="H10" s="14"/>
      <c r="I10" s="10" t="str">
        <f t="shared" si="4"/>
        <v/>
      </c>
      <c r="J10" s="11"/>
      <c r="P10" s="12" t="str">
        <f t="shared" si="3"/>
        <v/>
      </c>
    </row>
    <row r="11" ht="22.5" customHeight="1">
      <c r="A11" s="5">
        <f t="shared" si="1"/>
        <v>19</v>
      </c>
      <c r="B11" s="6" t="str">
        <f>IF(OR(WEEKDAY(D11)=1, WEEKDAY(D11)=7), TEXT(D11, "dddd"), IF(COUNTIF(Reference!$A$13:$A$27, D11) &gt; 0, "Holiday", TEXT(D11, "dddd")))</f>
        <v>Sunday</v>
      </c>
      <c r="C11" s="6" t="str">
        <f t="shared" si="2"/>
        <v>Sunday</v>
      </c>
      <c r="D11" s="6">
        <v>46152.0</v>
      </c>
      <c r="E11" s="7"/>
      <c r="F11" s="7"/>
      <c r="G11" s="16"/>
      <c r="H11" s="14"/>
      <c r="I11" s="10" t="str">
        <f t="shared" si="4"/>
        <v/>
      </c>
      <c r="J11" s="11"/>
      <c r="P11" s="12" t="str">
        <f t="shared" si="3"/>
        <v/>
      </c>
    </row>
    <row r="12" ht="22.5" customHeight="1">
      <c r="A12" s="5">
        <f t="shared" si="1"/>
        <v>20</v>
      </c>
      <c r="B12" s="6" t="str">
        <f>IF(OR(WEEKDAY(D12)=1, WEEKDAY(D12)=7), TEXT(D12, "dddd"), IF(COUNTIF(Reference!$A$13:$A$27, D12) &gt; 0, "Holiday", TEXT(D12, "dddd")))</f>
        <v>Monday</v>
      </c>
      <c r="C12" s="6" t="str">
        <f t="shared" si="2"/>
        <v>Monday</v>
      </c>
      <c r="D12" s="6">
        <v>46153.0</v>
      </c>
      <c r="E12" s="7" t="s">
        <v>21</v>
      </c>
      <c r="F12" s="7" t="s">
        <v>22</v>
      </c>
      <c r="G12" s="8">
        <v>8.0</v>
      </c>
      <c r="H12" s="9">
        <v>57.0</v>
      </c>
      <c r="I12" s="10">
        <f t="shared" si="4"/>
        <v>8.421052632</v>
      </c>
      <c r="J12" s="11"/>
      <c r="P12" s="12" t="str">
        <f t="shared" si="3"/>
        <v>Audi Crossings QC</v>
      </c>
      <c r="Q12" s="12" t="s">
        <v>24</v>
      </c>
      <c r="R12" s="12" t="s">
        <v>25</v>
      </c>
      <c r="S12" s="12" t="s">
        <v>26</v>
      </c>
      <c r="T12" s="12" t="s">
        <v>27</v>
      </c>
      <c r="U12" s="12"/>
      <c r="V12" s="12"/>
      <c r="W12" s="12"/>
      <c r="X12" s="12"/>
    </row>
    <row r="13" ht="22.5" customHeight="1">
      <c r="A13" s="5">
        <f t="shared" si="1"/>
        <v>20</v>
      </c>
      <c r="B13" s="6" t="str">
        <f>IF(OR(WEEKDAY(D13)=1, WEEKDAY(D13)=7), TEXT(D13, "dddd"), IF(COUNTIF(Reference!$A$13:$A$27, D13) &gt; 0, "Holiday", TEXT(D13, "dddd")))</f>
        <v>Tuesday</v>
      </c>
      <c r="C13" s="6" t="str">
        <f t="shared" si="2"/>
        <v>Tuesday</v>
      </c>
      <c r="D13" s="6">
        <v>46154.0</v>
      </c>
      <c r="E13" s="7" t="s">
        <v>21</v>
      </c>
      <c r="F13" s="7" t="s">
        <v>22</v>
      </c>
      <c r="G13" s="8">
        <v>8.0</v>
      </c>
      <c r="H13" s="9">
        <v>58.0</v>
      </c>
      <c r="I13" s="10">
        <f t="shared" si="4"/>
        <v>8.275862069</v>
      </c>
      <c r="J13" s="11"/>
      <c r="P13" s="12" t="str">
        <f t="shared" si="3"/>
        <v>Audi Crossings QC</v>
      </c>
      <c r="Q13" s="12" t="s">
        <v>24</v>
      </c>
      <c r="R13" s="12" t="s">
        <v>25</v>
      </c>
      <c r="S13" s="12" t="s">
        <v>26</v>
      </c>
      <c r="T13" s="12" t="s">
        <v>27</v>
      </c>
      <c r="U13" s="12"/>
      <c r="V13" s="12"/>
      <c r="W13" s="12"/>
      <c r="X13" s="12"/>
    </row>
    <row r="14" ht="22.5" customHeight="1">
      <c r="A14" s="5">
        <f t="shared" si="1"/>
        <v>20</v>
      </c>
      <c r="B14" s="6" t="str">
        <f>IF(OR(WEEKDAY(D14)=1, WEEKDAY(D14)=7), TEXT(D14, "dddd"), IF(COUNTIF(Reference!$A$13:$A$27, D14) &gt; 0, "Holiday", TEXT(D14, "dddd")))</f>
        <v>Wednesday</v>
      </c>
      <c r="C14" s="6" t="str">
        <f t="shared" si="2"/>
        <v>Wednesday</v>
      </c>
      <c r="D14" s="6">
        <v>46155.0</v>
      </c>
      <c r="E14" s="7"/>
      <c r="F14" s="7"/>
      <c r="G14" s="16"/>
      <c r="H14" s="14"/>
      <c r="I14" s="10" t="str">
        <f t="shared" si="4"/>
        <v/>
      </c>
      <c r="J14" s="11"/>
      <c r="P14" s="12" t="str">
        <f t="shared" si="3"/>
        <v/>
      </c>
    </row>
    <row r="15" ht="22.5" customHeight="1">
      <c r="A15" s="5">
        <f t="shared" si="1"/>
        <v>20</v>
      </c>
      <c r="B15" s="6" t="str">
        <f>IF(OR(WEEKDAY(D15)=1, WEEKDAY(D15)=7), TEXT(D15, "dddd"), IF(COUNTIF(Reference!$A$13:$A$27, D15) &gt; 0, "Holiday", TEXT(D15, "dddd")))</f>
        <v>Holiday</v>
      </c>
      <c r="C15" s="6" t="str">
        <f t="shared" si="2"/>
        <v>Thursday</v>
      </c>
      <c r="D15" s="6">
        <v>46156.0</v>
      </c>
      <c r="E15" s="7"/>
      <c r="F15" s="7"/>
      <c r="G15" s="16"/>
      <c r="H15" s="14"/>
      <c r="I15" s="10" t="str">
        <f t="shared" si="4"/>
        <v/>
      </c>
      <c r="J15" s="11"/>
      <c r="P15" s="12" t="str">
        <f t="shared" si="3"/>
        <v/>
      </c>
    </row>
    <row r="16" ht="22.5" customHeight="1">
      <c r="A16" s="5">
        <f t="shared" si="1"/>
        <v>20</v>
      </c>
      <c r="B16" s="6" t="str">
        <f>IF(OR(WEEKDAY(D16)=1, WEEKDAY(D16)=7), TEXT(D16, "dddd"), IF(COUNTIF(Reference!$A$13:$A$27, D16) &gt; 0, "Holiday", TEXT(D16, "dddd")))</f>
        <v>Friday</v>
      </c>
      <c r="C16" s="6" t="str">
        <f t="shared" si="2"/>
        <v>Friday</v>
      </c>
      <c r="D16" s="6">
        <v>46157.0</v>
      </c>
      <c r="E16" s="7" t="s">
        <v>21</v>
      </c>
      <c r="F16" s="7" t="s">
        <v>22</v>
      </c>
      <c r="G16" s="8">
        <v>4.0</v>
      </c>
      <c r="H16" s="9">
        <v>30.0</v>
      </c>
      <c r="I16" s="10">
        <f t="shared" si="4"/>
        <v>8</v>
      </c>
      <c r="J16" s="11"/>
      <c r="P16" s="12" t="str">
        <f t="shared" si="3"/>
        <v>Audi Crossings QC</v>
      </c>
      <c r="Q16" s="12" t="s">
        <v>24</v>
      </c>
      <c r="R16" s="12" t="s">
        <v>25</v>
      </c>
      <c r="S16" s="12" t="s">
        <v>26</v>
      </c>
      <c r="T16" s="12" t="s">
        <v>27</v>
      </c>
      <c r="U16" s="12"/>
      <c r="V16" s="12"/>
      <c r="W16" s="12"/>
      <c r="X16" s="12"/>
    </row>
    <row r="17" ht="22.5" customHeight="1">
      <c r="A17" s="5">
        <f t="shared" si="1"/>
        <v>20</v>
      </c>
      <c r="B17" s="6" t="str">
        <f>IF(OR(WEEKDAY(D17)=1, WEEKDAY(D17)=7), TEXT(D17, "dddd"), IF(COUNTIF(Reference!$A$13:$A$27, D17) &gt; 0, "Holiday", TEXT(D17, "dddd")))</f>
        <v>Saturday</v>
      </c>
      <c r="C17" s="6" t="str">
        <f t="shared" si="2"/>
        <v>Saturday</v>
      </c>
      <c r="D17" s="6">
        <v>46158.0</v>
      </c>
      <c r="E17" s="7"/>
      <c r="F17" s="7"/>
      <c r="G17" s="16"/>
      <c r="H17" s="14"/>
      <c r="I17" s="10" t="str">
        <f t="shared" si="4"/>
        <v/>
      </c>
      <c r="J17" s="11"/>
      <c r="P17" s="12" t="str">
        <f t="shared" si="3"/>
        <v/>
      </c>
    </row>
    <row r="18" ht="22.5" customHeight="1">
      <c r="A18" s="5">
        <f t="shared" si="1"/>
        <v>20</v>
      </c>
      <c r="B18" s="6" t="str">
        <f>IF(OR(WEEKDAY(D18)=1, WEEKDAY(D18)=7), TEXT(D18, "dddd"), IF(COUNTIF(Reference!$A$13:$A$27, D18) &gt; 0, "Holiday", TEXT(D18, "dddd")))</f>
        <v>Sunday</v>
      </c>
      <c r="C18" s="6" t="str">
        <f t="shared" si="2"/>
        <v>Sunday</v>
      </c>
      <c r="D18" s="6">
        <v>46159.0</v>
      </c>
      <c r="E18" s="7"/>
      <c r="F18" s="7"/>
      <c r="G18" s="16"/>
      <c r="H18" s="14"/>
      <c r="I18" s="10" t="str">
        <f t="shared" si="4"/>
        <v/>
      </c>
      <c r="J18" s="11"/>
      <c r="P18" s="12" t="str">
        <f t="shared" si="3"/>
        <v/>
      </c>
    </row>
    <row r="19" ht="22.5" customHeight="1">
      <c r="A19" s="5">
        <f t="shared" si="1"/>
        <v>21</v>
      </c>
      <c r="B19" s="6" t="str">
        <f>IF(OR(WEEKDAY(D19)=1, WEEKDAY(D19)=7), TEXT(D19, "dddd"), IF(COUNTIF(Reference!$A$13:$A$27, D19) &gt; 0, "Holiday", TEXT(D19, "dddd")))</f>
        <v>Monday</v>
      </c>
      <c r="C19" s="6" t="str">
        <f t="shared" si="2"/>
        <v>Monday</v>
      </c>
      <c r="D19" s="6">
        <v>46160.0</v>
      </c>
      <c r="E19" s="7" t="s">
        <v>21</v>
      </c>
      <c r="F19" s="7" t="s">
        <v>24</v>
      </c>
      <c r="G19" s="8">
        <v>6.0</v>
      </c>
      <c r="H19" s="9"/>
      <c r="I19" s="10" t="str">
        <f t="shared" si="4"/>
        <v/>
      </c>
      <c r="J19" s="11"/>
      <c r="P19" s="12" t="str">
        <f t="shared" si="3"/>
        <v>Audi Crossings QC</v>
      </c>
      <c r="Q19" s="12" t="s">
        <v>24</v>
      </c>
      <c r="R19" s="12" t="s">
        <v>25</v>
      </c>
      <c r="S19" s="12" t="s">
        <v>26</v>
      </c>
      <c r="T19" s="12" t="s">
        <v>27</v>
      </c>
      <c r="U19" s="12"/>
      <c r="V19" s="12"/>
      <c r="W19" s="12"/>
      <c r="X19" s="12"/>
    </row>
    <row r="20" ht="22.5" customHeight="1">
      <c r="A20" s="5">
        <f t="shared" si="1"/>
        <v>21</v>
      </c>
      <c r="B20" s="6" t="str">
        <f>IF(OR(WEEKDAY(D20)=1, WEEKDAY(D20)=7), TEXT(D20, "dddd"), IF(COUNTIF(Reference!$A$13:$A$27, D20) &gt; 0, "Holiday", TEXT(D20, "dddd")))</f>
        <v>Tuesday</v>
      </c>
      <c r="C20" s="6" t="str">
        <f t="shared" si="2"/>
        <v>Tuesday</v>
      </c>
      <c r="D20" s="6">
        <v>46161.0</v>
      </c>
      <c r="E20" s="7"/>
      <c r="F20" s="7"/>
      <c r="G20" s="16"/>
      <c r="H20" s="14"/>
      <c r="I20" s="10" t="str">
        <f t="shared" si="4"/>
        <v/>
      </c>
      <c r="J20" s="11"/>
      <c r="P20" s="12" t="str">
        <f t="shared" si="3"/>
        <v/>
      </c>
    </row>
    <row r="21" ht="22.5" customHeight="1">
      <c r="A21" s="5">
        <f t="shared" si="1"/>
        <v>21</v>
      </c>
      <c r="B21" s="6" t="str">
        <f>IF(OR(WEEKDAY(D21)=1, WEEKDAY(D21)=7), TEXT(D21, "dddd"), IF(COUNTIF(Reference!$A$13:$A$27, D21) &gt; 0, "Holiday", TEXT(D21, "dddd")))</f>
        <v>Wednesday</v>
      </c>
      <c r="C21" s="6" t="str">
        <f t="shared" si="2"/>
        <v>Wednesday</v>
      </c>
      <c r="D21" s="6">
        <v>46162.0</v>
      </c>
      <c r="E21" s="7"/>
      <c r="F21" s="7"/>
      <c r="G21" s="16"/>
      <c r="H21" s="14"/>
      <c r="I21" s="10" t="str">
        <f t="shared" si="4"/>
        <v/>
      </c>
      <c r="J21" s="11"/>
      <c r="P21" s="12" t="str">
        <f t="shared" si="3"/>
        <v/>
      </c>
    </row>
    <row r="22" ht="22.5" customHeight="1">
      <c r="A22" s="5">
        <f t="shared" si="1"/>
        <v>21</v>
      </c>
      <c r="B22" s="6" t="str">
        <f>IF(OR(WEEKDAY(D22)=1, WEEKDAY(D22)=7), TEXT(D22, "dddd"), IF(COUNTIF(Reference!$A$13:$A$27, D22) &gt; 0, "Holiday", TEXT(D22, "dddd")))</f>
        <v>Thursday</v>
      </c>
      <c r="C22" s="6" t="str">
        <f t="shared" si="2"/>
        <v>Thursday</v>
      </c>
      <c r="D22" s="6">
        <v>46163.0</v>
      </c>
      <c r="E22" s="7" t="s">
        <v>21</v>
      </c>
      <c r="F22" s="7" t="s">
        <v>22</v>
      </c>
      <c r="G22" s="8">
        <v>8.0</v>
      </c>
      <c r="H22" s="9">
        <v>58.0</v>
      </c>
      <c r="I22" s="10">
        <f t="shared" si="4"/>
        <v>8.275862069</v>
      </c>
      <c r="J22" s="11"/>
      <c r="P22" s="12" t="str">
        <f t="shared" si="3"/>
        <v>Audi Crossings QC</v>
      </c>
      <c r="Q22" s="12" t="s">
        <v>24</v>
      </c>
      <c r="R22" s="12" t="s">
        <v>25</v>
      </c>
      <c r="S22" s="12" t="s">
        <v>26</v>
      </c>
      <c r="T22" s="12" t="s">
        <v>27</v>
      </c>
      <c r="U22" s="12"/>
      <c r="V22" s="12"/>
      <c r="W22" s="12"/>
      <c r="X22" s="12"/>
    </row>
    <row r="23" ht="22.5" customHeight="1">
      <c r="A23" s="5">
        <f t="shared" si="1"/>
        <v>21</v>
      </c>
      <c r="B23" s="6" t="str">
        <f>IF(OR(WEEKDAY(D23)=1, WEEKDAY(D23)=7), TEXT(D23, "dddd"), IF(COUNTIF(Reference!$A$13:$A$27, D23) &gt; 0, "Holiday", TEXT(D23, "dddd")))</f>
        <v>Friday</v>
      </c>
      <c r="C23" s="6" t="str">
        <f t="shared" si="2"/>
        <v>Friday</v>
      </c>
      <c r="D23" s="6">
        <v>46164.0</v>
      </c>
      <c r="E23" s="7" t="s">
        <v>21</v>
      </c>
      <c r="F23" s="7" t="s">
        <v>22</v>
      </c>
      <c r="G23" s="8">
        <v>6.0</v>
      </c>
      <c r="H23" s="9">
        <v>41.0</v>
      </c>
      <c r="I23" s="10">
        <f t="shared" si="4"/>
        <v>8.780487805</v>
      </c>
      <c r="J23" s="11"/>
      <c r="P23" s="12" t="str">
        <f t="shared" si="3"/>
        <v>Audi Crossings QC</v>
      </c>
      <c r="Q23" s="12" t="s">
        <v>24</v>
      </c>
      <c r="R23" s="12" t="s">
        <v>25</v>
      </c>
      <c r="S23" s="12" t="s">
        <v>26</v>
      </c>
      <c r="T23" s="12" t="s">
        <v>27</v>
      </c>
      <c r="U23" s="12"/>
      <c r="V23" s="12"/>
      <c r="W23" s="12"/>
      <c r="X23" s="12"/>
    </row>
    <row r="24" ht="22.5" customHeight="1">
      <c r="A24" s="5">
        <f t="shared" si="1"/>
        <v>21</v>
      </c>
      <c r="B24" s="6" t="str">
        <f>IF(OR(WEEKDAY(D24)=1, WEEKDAY(D24)=7), TEXT(D24, "dddd"), IF(COUNTIF(Reference!$A$13:$A$27, D24) &gt; 0, "Holiday", TEXT(D24, "dddd")))</f>
        <v>Saturday</v>
      </c>
      <c r="C24" s="6" t="str">
        <f t="shared" si="2"/>
        <v>Saturday</v>
      </c>
      <c r="D24" s="6">
        <v>46165.0</v>
      </c>
      <c r="E24" s="7"/>
      <c r="F24" s="7"/>
      <c r="G24" s="16"/>
      <c r="H24" s="14"/>
      <c r="I24" s="10" t="str">
        <f t="shared" si="4"/>
        <v/>
      </c>
      <c r="J24" s="11"/>
      <c r="P24" s="12" t="str">
        <f t="shared" si="3"/>
        <v/>
      </c>
    </row>
    <row r="25" ht="22.5" customHeight="1">
      <c r="A25" s="5">
        <f t="shared" si="1"/>
        <v>21</v>
      </c>
      <c r="B25" s="6" t="str">
        <f>IF(OR(WEEKDAY(D25)=1, WEEKDAY(D25)=7), TEXT(D25, "dddd"), IF(COUNTIF(Reference!$A$13:$A$27, D25) &gt; 0, "Holiday", TEXT(D25, "dddd")))</f>
        <v>Sunday</v>
      </c>
      <c r="C25" s="6" t="str">
        <f t="shared" si="2"/>
        <v>Sunday</v>
      </c>
      <c r="D25" s="6">
        <v>46166.0</v>
      </c>
      <c r="E25" s="7"/>
      <c r="F25" s="7"/>
      <c r="G25" s="16"/>
      <c r="H25" s="14"/>
      <c r="I25" s="10" t="str">
        <f t="shared" si="4"/>
        <v/>
      </c>
      <c r="J25" s="11"/>
      <c r="P25" s="12" t="str">
        <f t="shared" si="3"/>
        <v/>
      </c>
    </row>
    <row r="26" ht="22.5" customHeight="1">
      <c r="A26" s="5">
        <f t="shared" si="1"/>
        <v>22</v>
      </c>
      <c r="B26" s="6" t="str">
        <f>IF(OR(WEEKDAY(D26)=1, WEEKDAY(D26)=7), TEXT(D26, "dddd"), IF(COUNTIF(Reference!$A$13:$A$27, D26) &gt; 0, "Holiday", TEXT(D26, "dddd")))</f>
        <v>Holiday</v>
      </c>
      <c r="C26" s="6" t="str">
        <f t="shared" si="2"/>
        <v>Monday</v>
      </c>
      <c r="D26" s="6">
        <v>46167.0</v>
      </c>
      <c r="E26" s="7"/>
      <c r="F26" s="7"/>
      <c r="G26" s="16"/>
      <c r="H26" s="14"/>
      <c r="I26" s="10" t="str">
        <f t="shared" si="4"/>
        <v/>
      </c>
      <c r="J26" s="11"/>
      <c r="P26" s="12" t="str">
        <f t="shared" si="3"/>
        <v/>
      </c>
    </row>
    <row r="27" ht="22.5" customHeight="1">
      <c r="A27" s="5">
        <f t="shared" si="1"/>
        <v>22</v>
      </c>
      <c r="B27" s="6" t="str">
        <f>IF(OR(WEEKDAY(D27)=1, WEEKDAY(D27)=7), TEXT(D27, "dddd"), IF(COUNTIF(Reference!$A$13:$A$27, D27) &gt; 0, "Holiday", TEXT(D27, "dddd")))</f>
        <v>Tuesday</v>
      </c>
      <c r="C27" s="6" t="str">
        <f t="shared" si="2"/>
        <v>Tuesday</v>
      </c>
      <c r="D27" s="6">
        <v>46168.0</v>
      </c>
      <c r="E27" s="7" t="s">
        <v>21</v>
      </c>
      <c r="F27" s="7" t="s">
        <v>22</v>
      </c>
      <c r="G27" s="8">
        <v>8.0</v>
      </c>
      <c r="H27" s="9">
        <v>56.0</v>
      </c>
      <c r="I27" s="10">
        <f t="shared" si="4"/>
        <v>8.571428571</v>
      </c>
      <c r="J27" s="11"/>
      <c r="P27" s="12" t="str">
        <f t="shared" si="3"/>
        <v>Audi Crossings QC</v>
      </c>
      <c r="Q27" s="12" t="s">
        <v>24</v>
      </c>
      <c r="R27" s="12" t="s">
        <v>25</v>
      </c>
      <c r="S27" s="12" t="s">
        <v>26</v>
      </c>
      <c r="T27" s="12" t="s">
        <v>27</v>
      </c>
      <c r="U27" s="12"/>
      <c r="V27" s="12"/>
      <c r="W27" s="12"/>
      <c r="X27" s="12"/>
    </row>
    <row r="28" ht="22.5" customHeight="1">
      <c r="A28" s="5">
        <f t="shared" si="1"/>
        <v>22</v>
      </c>
      <c r="B28" s="6" t="str">
        <f>IF(OR(WEEKDAY(D28)=1, WEEKDAY(D28)=7), TEXT(D28, "dddd"), IF(COUNTIF(Reference!$A$13:$A$27, D28) &gt; 0, "Holiday", TEXT(D28, "dddd")))</f>
        <v>Wednesday</v>
      </c>
      <c r="C28" s="6" t="str">
        <f t="shared" si="2"/>
        <v>Wednesday</v>
      </c>
      <c r="D28" s="6">
        <v>46169.0</v>
      </c>
      <c r="E28" s="7" t="s">
        <v>21</v>
      </c>
      <c r="F28" s="7" t="s">
        <v>22</v>
      </c>
      <c r="G28" s="8">
        <v>4.0</v>
      </c>
      <c r="H28" s="9">
        <v>27.0</v>
      </c>
      <c r="I28" s="10">
        <f t="shared" si="4"/>
        <v>8.888888889</v>
      </c>
      <c r="J28" s="11"/>
      <c r="P28" s="12" t="str">
        <f t="shared" si="3"/>
        <v>Audi Crossings QC</v>
      </c>
      <c r="Q28" s="12" t="s">
        <v>24</v>
      </c>
      <c r="R28" s="12" t="s">
        <v>25</v>
      </c>
      <c r="S28" s="12" t="s">
        <v>26</v>
      </c>
      <c r="T28" s="12" t="s">
        <v>27</v>
      </c>
      <c r="U28" s="12"/>
      <c r="V28" s="12"/>
      <c r="W28" s="12"/>
      <c r="X28" s="12"/>
    </row>
    <row r="29" ht="22.5" customHeight="1">
      <c r="A29" s="5">
        <f t="shared" si="1"/>
        <v>22</v>
      </c>
      <c r="B29" s="6" t="str">
        <f>IF(OR(WEEKDAY(D29)=1, WEEKDAY(D29)=7), TEXT(D29, "dddd"), IF(COUNTIF(Reference!$A$13:$A$27, D29) &gt; 0, "Holiday", TEXT(D29, "dddd")))</f>
        <v>Thursday</v>
      </c>
      <c r="C29" s="6" t="str">
        <f t="shared" si="2"/>
        <v>Thursday</v>
      </c>
      <c r="D29" s="6">
        <v>46170.0</v>
      </c>
      <c r="E29" s="7"/>
      <c r="F29" s="7"/>
      <c r="G29" s="16"/>
      <c r="H29" s="14"/>
      <c r="I29" s="10" t="str">
        <f t="shared" si="4"/>
        <v/>
      </c>
      <c r="J29" s="11"/>
      <c r="P29" s="12" t="str">
        <f t="shared" si="3"/>
        <v/>
      </c>
    </row>
    <row r="30" ht="22.5" customHeight="1">
      <c r="A30" s="5">
        <f t="shared" si="1"/>
        <v>22</v>
      </c>
      <c r="B30" s="6" t="str">
        <f>IF(OR(WEEKDAY(D30)=1, WEEKDAY(D30)=7), TEXT(D30, "dddd"), IF(COUNTIF(Reference!$A$13:$A$27, D30) &gt; 0, "Holiday", TEXT(D30, "dddd")))</f>
        <v>Friday</v>
      </c>
      <c r="C30" s="6" t="str">
        <f t="shared" si="2"/>
        <v>Friday</v>
      </c>
      <c r="D30" s="6">
        <v>46171.0</v>
      </c>
      <c r="E30" s="7" t="s">
        <v>21</v>
      </c>
      <c r="F30" s="7" t="s">
        <v>22</v>
      </c>
      <c r="G30" s="8">
        <v>8.0</v>
      </c>
      <c r="H30" s="9">
        <v>55.0</v>
      </c>
      <c r="I30" s="10">
        <f t="shared" si="4"/>
        <v>8.727272727</v>
      </c>
      <c r="J30" s="11"/>
      <c r="P30" s="12" t="str">
        <f t="shared" si="3"/>
        <v>Audi Crossings QC</v>
      </c>
      <c r="Q30" s="12" t="s">
        <v>24</v>
      </c>
      <c r="R30" s="12" t="s">
        <v>25</v>
      </c>
      <c r="S30" s="12" t="s">
        <v>26</v>
      </c>
      <c r="T30" s="12" t="s">
        <v>27</v>
      </c>
      <c r="U30" s="12"/>
      <c r="V30" s="12"/>
      <c r="W30" s="12"/>
      <c r="X30" s="12"/>
    </row>
    <row r="31" ht="22.5" customHeight="1">
      <c r="A31" s="5">
        <f t="shared" si="1"/>
        <v>22</v>
      </c>
      <c r="B31" s="6" t="str">
        <f>IF(OR(WEEKDAY(D31)=1, WEEKDAY(D31)=7), TEXT(D31, "dddd"), IF(COUNTIF(Reference!$A$13:$A$27, D31) &gt; 0, "Holiday", TEXT(D31, "dddd")))</f>
        <v>Saturday</v>
      </c>
      <c r="C31" s="6" t="str">
        <f t="shared" si="2"/>
        <v>Saturday</v>
      </c>
      <c r="D31" s="6">
        <v>46172.0</v>
      </c>
      <c r="E31" s="7"/>
      <c r="F31" s="7"/>
      <c r="G31" s="16"/>
      <c r="H31" s="14"/>
      <c r="I31" s="10" t="str">
        <f t="shared" si="4"/>
        <v/>
      </c>
      <c r="J31" s="11"/>
      <c r="P31" s="12" t="str">
        <f t="shared" si="3"/>
        <v/>
      </c>
    </row>
    <row r="32" ht="22.5" customHeight="1">
      <c r="A32" s="5">
        <f t="shared" si="1"/>
        <v>22</v>
      </c>
      <c r="B32" s="6" t="str">
        <f>IF(OR(WEEKDAY(D32)=1, WEEKDAY(D32)=7), TEXT(D32, "dddd"), IF(COUNTIF(Reference!$A$13:$A$27, D32) &gt; 0, "Holiday", TEXT(D32, "dddd")))</f>
        <v>Sunday</v>
      </c>
      <c r="C32" s="6" t="str">
        <f t="shared" si="2"/>
        <v>Sunday</v>
      </c>
      <c r="D32" s="6">
        <v>46173.0</v>
      </c>
      <c r="E32" s="7"/>
      <c r="F32" s="7"/>
      <c r="G32" s="16"/>
      <c r="H32" s="14"/>
      <c r="I32" s="10" t="str">
        <f t="shared" si="4"/>
        <v/>
      </c>
      <c r="J32" s="11"/>
      <c r="P32" s="12" t="str">
        <f t="shared" si="3"/>
        <v/>
      </c>
    </row>
    <row r="33" ht="22.5" customHeight="1">
      <c r="A33" s="5">
        <f t="shared" si="1"/>
        <v>23</v>
      </c>
      <c r="B33" s="6" t="str">
        <f>IF(OR(WEEKDAY(D33)=1, WEEKDAY(D33)=7), TEXT(D33, "dddd"), IF(COUNTIF(Reference!$A$13:$A$27, D33) &gt; 0, "Holiday", TEXT(D33, "dddd")))</f>
        <v>Monday</v>
      </c>
      <c r="C33" s="6" t="str">
        <f t="shared" si="2"/>
        <v>Monday</v>
      </c>
      <c r="D33" s="6">
        <v>46174.0</v>
      </c>
      <c r="E33" s="7" t="s">
        <v>21</v>
      </c>
      <c r="F33" s="7" t="s">
        <v>22</v>
      </c>
      <c r="G33" s="8">
        <v>2.5</v>
      </c>
      <c r="H33" s="9">
        <v>18.0</v>
      </c>
      <c r="I33" s="10">
        <f t="shared" si="4"/>
        <v>8.333333333</v>
      </c>
      <c r="J33" s="11"/>
      <c r="P33" s="12" t="str">
        <f t="shared" si="3"/>
        <v>Audi Crossings QC</v>
      </c>
      <c r="Q33" s="12" t="s">
        <v>24</v>
      </c>
      <c r="R33" s="12" t="s">
        <v>25</v>
      </c>
      <c r="S33" s="12" t="s">
        <v>26</v>
      </c>
      <c r="T33" s="12" t="s">
        <v>27</v>
      </c>
      <c r="U33" s="12"/>
      <c r="V33" s="12"/>
      <c r="W33" s="12"/>
      <c r="X33" s="12"/>
    </row>
    <row r="34" ht="22.5" customHeight="1">
      <c r="A34" s="5">
        <f t="shared" si="1"/>
        <v>23</v>
      </c>
      <c r="B34" s="6" t="str">
        <f>IF(OR(WEEKDAY(D34)=1, WEEKDAY(D34)=7), TEXT(D34, "dddd"), IF(COUNTIF(Reference!$A$13:$A$27, D34) &gt; 0, "Holiday", TEXT(D34, "dddd")))</f>
        <v>Tuesday</v>
      </c>
      <c r="C34" s="6" t="str">
        <f t="shared" si="2"/>
        <v>Tuesday</v>
      </c>
      <c r="D34" s="6">
        <v>46175.0</v>
      </c>
      <c r="E34" s="7" t="s">
        <v>16</v>
      </c>
      <c r="F34" s="7" t="s">
        <v>17</v>
      </c>
      <c r="G34" s="8">
        <v>9.5</v>
      </c>
      <c r="H34" s="9">
        <v>230.0</v>
      </c>
      <c r="I34" s="10">
        <f t="shared" si="4"/>
        <v>2.47826087</v>
      </c>
      <c r="J34" s="11"/>
      <c r="P34" s="12" t="str">
        <f t="shared" si="3"/>
        <v>TPfC Phase 3</v>
      </c>
      <c r="Q34" s="12" t="s">
        <v>18</v>
      </c>
      <c r="R34" s="12"/>
      <c r="S34" s="12"/>
      <c r="T34" s="18"/>
      <c r="U34" s="18"/>
      <c r="V34" s="18"/>
      <c r="W34" s="18"/>
      <c r="X34" s="18"/>
    </row>
    <row r="35" ht="22.5" customHeight="1">
      <c r="A35" s="5">
        <f t="shared" si="1"/>
        <v>23</v>
      </c>
      <c r="B35" s="6" t="str">
        <f>IF(OR(WEEKDAY(D35)=1, WEEKDAY(D35)=7), TEXT(D35, "dddd"), IF(COUNTIF(Reference!$A$13:$A$27, D35) &gt; 0, "Holiday", TEXT(D35, "dddd")))</f>
        <v>Wednesday</v>
      </c>
      <c r="C35" s="6" t="str">
        <f t="shared" si="2"/>
        <v>Wednesday</v>
      </c>
      <c r="D35" s="6">
        <v>46176.0</v>
      </c>
      <c r="E35" s="7" t="s">
        <v>16</v>
      </c>
      <c r="F35" s="7" t="s">
        <v>17</v>
      </c>
      <c r="G35" s="8">
        <v>8.0</v>
      </c>
      <c r="H35" s="9">
        <v>147.0</v>
      </c>
      <c r="I35" s="10">
        <f t="shared" si="4"/>
        <v>3.265306122</v>
      </c>
      <c r="J35" s="11"/>
      <c r="P35" s="12" t="str">
        <f t="shared" si="3"/>
        <v>TPfC Phase 3</v>
      </c>
      <c r="Q35" s="12" t="s">
        <v>18</v>
      </c>
      <c r="R35" s="12"/>
      <c r="S35" s="12"/>
      <c r="T35" s="18"/>
      <c r="U35" s="18"/>
      <c r="V35" s="18"/>
      <c r="W35" s="18"/>
      <c r="X35" s="18"/>
    </row>
    <row r="36" ht="22.5" customHeight="1">
      <c r="A36" s="5">
        <f t="shared" si="1"/>
        <v>23</v>
      </c>
      <c r="B36" s="6" t="str">
        <f>IF(OR(WEEKDAY(D36)=1, WEEKDAY(D36)=7), TEXT(D36, "dddd"), IF(COUNTIF(Reference!$A$13:$A$27, D36) &gt; 0, "Holiday", TEXT(D36, "dddd")))</f>
        <v>Holiday</v>
      </c>
      <c r="C36" s="6" t="str">
        <f t="shared" si="2"/>
        <v>Thursday</v>
      </c>
      <c r="D36" s="6">
        <v>46177.0</v>
      </c>
      <c r="E36" s="7"/>
      <c r="F36" s="7"/>
      <c r="G36" s="16"/>
      <c r="H36" s="14"/>
      <c r="I36" s="10" t="str">
        <f t="shared" si="4"/>
        <v/>
      </c>
      <c r="J36" s="11"/>
      <c r="P36" s="12" t="str">
        <f t="shared" si="3"/>
        <v/>
      </c>
    </row>
    <row r="37" ht="22.5" customHeight="1">
      <c r="A37" s="5">
        <f t="shared" si="1"/>
        <v>23</v>
      </c>
      <c r="B37" s="6" t="str">
        <f>IF(OR(WEEKDAY(D37)=1, WEEKDAY(D37)=7), TEXT(D37, "dddd"), IF(COUNTIF(Reference!$A$13:$A$27, D37) &gt; 0, "Holiday", TEXT(D37, "dddd")))</f>
        <v>Friday</v>
      </c>
      <c r="C37" s="6" t="str">
        <f t="shared" si="2"/>
        <v>Friday</v>
      </c>
      <c r="D37" s="6">
        <v>46178.0</v>
      </c>
      <c r="E37" s="7"/>
      <c r="F37" s="7"/>
      <c r="G37" s="16"/>
      <c r="H37" s="14"/>
      <c r="I37" s="10" t="str">
        <f t="shared" si="4"/>
        <v/>
      </c>
      <c r="J37" s="11"/>
      <c r="P37" s="12" t="str">
        <f t="shared" si="3"/>
        <v/>
      </c>
    </row>
    <row r="38" ht="22.5" customHeight="1">
      <c r="A38" s="5">
        <f t="shared" si="1"/>
        <v>23</v>
      </c>
      <c r="B38" s="6" t="str">
        <f>IF(OR(WEEKDAY(D38)=1, WEEKDAY(D38)=7), TEXT(D38, "dddd"), IF(COUNTIF(Reference!$A$13:$A$27, D38) &gt; 0, "Holiday", TEXT(D38, "dddd")))</f>
        <v>Saturday</v>
      </c>
      <c r="C38" s="6" t="str">
        <f t="shared" si="2"/>
        <v>Saturday</v>
      </c>
      <c r="D38" s="6">
        <v>46179.0</v>
      </c>
      <c r="E38" s="7"/>
      <c r="F38" s="7"/>
      <c r="G38" s="16"/>
      <c r="H38" s="14"/>
      <c r="I38" s="10" t="str">
        <f t="shared" si="4"/>
        <v/>
      </c>
      <c r="J38" s="11"/>
      <c r="P38" s="12" t="str">
        <f t="shared" si="3"/>
        <v/>
      </c>
    </row>
    <row r="39" ht="22.5" customHeight="1">
      <c r="A39" s="5">
        <f t="shared" si="1"/>
        <v>23</v>
      </c>
      <c r="B39" s="6" t="str">
        <f>IF(OR(WEEKDAY(D39)=1, WEEKDAY(D39)=7), TEXT(D39, "dddd"), IF(COUNTIF(Reference!$A$13:$A$27, D39) &gt; 0, "Holiday", TEXT(D39, "dddd")))</f>
        <v>Sunday</v>
      </c>
      <c r="C39" s="6" t="str">
        <f t="shared" si="2"/>
        <v>Sunday</v>
      </c>
      <c r="D39" s="6">
        <v>46180.0</v>
      </c>
      <c r="E39" s="7"/>
      <c r="F39" s="7"/>
      <c r="G39" s="16"/>
      <c r="H39" s="14"/>
      <c r="I39" s="10" t="str">
        <f t="shared" si="4"/>
        <v/>
      </c>
      <c r="J39" s="11"/>
      <c r="P39" s="12" t="str">
        <f t="shared" si="3"/>
        <v/>
      </c>
    </row>
    <row r="40" ht="22.5" customHeight="1">
      <c r="A40" s="5">
        <f t="shared" si="1"/>
        <v>24</v>
      </c>
      <c r="B40" s="6" t="str">
        <f>IF(OR(WEEKDAY(D40)=1, WEEKDAY(D40)=7), TEXT(D40, "dddd"), IF(COUNTIF(Reference!$A$13:$A$27, D40) &gt; 0, "Holiday", TEXT(D40, "dddd")))</f>
        <v>Monday</v>
      </c>
      <c r="C40" s="6" t="str">
        <f t="shared" si="2"/>
        <v>Monday</v>
      </c>
      <c r="D40" s="6">
        <v>46181.0</v>
      </c>
      <c r="E40" s="7"/>
      <c r="F40" s="7"/>
      <c r="G40" s="8" t="s">
        <v>10</v>
      </c>
      <c r="H40" s="14"/>
      <c r="I40" s="10" t="str">
        <f t="shared" si="4"/>
        <v/>
      </c>
      <c r="J40" s="11"/>
      <c r="P40" s="12" t="str">
        <f t="shared" si="3"/>
        <v/>
      </c>
    </row>
    <row r="41" ht="22.5" customHeight="1">
      <c r="A41" s="5">
        <f t="shared" si="1"/>
        <v>24</v>
      </c>
      <c r="B41" s="6" t="str">
        <f>IF(OR(WEEKDAY(D41)=1, WEEKDAY(D41)=7), TEXT(D41, "dddd"), IF(COUNTIF(Reference!$A$13:$A$27, D41) &gt; 0, "Holiday", TEXT(D41, "dddd")))</f>
        <v>Tuesday</v>
      </c>
      <c r="C41" s="6" t="str">
        <f t="shared" si="2"/>
        <v>Tuesday</v>
      </c>
      <c r="D41" s="6">
        <v>46182.0</v>
      </c>
      <c r="E41" s="7"/>
      <c r="F41" s="7"/>
      <c r="G41" s="8" t="s">
        <v>10</v>
      </c>
      <c r="H41" s="14"/>
      <c r="I41" s="10" t="str">
        <f t="shared" si="4"/>
        <v/>
      </c>
      <c r="J41" s="11"/>
      <c r="P41" s="12" t="str">
        <f t="shared" si="3"/>
        <v/>
      </c>
    </row>
    <row r="42" ht="22.5" customHeight="1">
      <c r="A42" s="5">
        <f t="shared" si="1"/>
        <v>24</v>
      </c>
      <c r="B42" s="6" t="str">
        <f>IF(OR(WEEKDAY(D42)=1, WEEKDAY(D42)=7), TEXT(D42, "dddd"), IF(COUNTIF(Reference!$A$13:$A$27, D42) &gt; 0, "Holiday", TEXT(D42, "dddd")))</f>
        <v>Wednesday</v>
      </c>
      <c r="C42" s="6" t="str">
        <f t="shared" si="2"/>
        <v>Wednesday</v>
      </c>
      <c r="D42" s="6">
        <v>46183.0</v>
      </c>
      <c r="E42" s="7"/>
      <c r="F42" s="7"/>
      <c r="G42" s="8" t="s">
        <v>10</v>
      </c>
      <c r="H42" s="14"/>
      <c r="I42" s="10" t="str">
        <f t="shared" si="4"/>
        <v/>
      </c>
      <c r="J42" s="11"/>
      <c r="P42" s="12" t="str">
        <f t="shared" si="3"/>
        <v/>
      </c>
    </row>
    <row r="43" ht="22.5" customHeight="1">
      <c r="A43" s="5">
        <f t="shared" si="1"/>
        <v>24</v>
      </c>
      <c r="B43" s="6" t="str">
        <f>IF(OR(WEEKDAY(D43)=1, WEEKDAY(D43)=7), TEXT(D43, "dddd"), IF(COUNTIF(Reference!$A$13:$A$27, D43) &gt; 0, "Holiday", TEXT(D43, "dddd")))</f>
        <v>Thursday</v>
      </c>
      <c r="C43" s="6" t="str">
        <f t="shared" si="2"/>
        <v>Thursday</v>
      </c>
      <c r="D43" s="6">
        <v>46184.0</v>
      </c>
      <c r="E43" s="7"/>
      <c r="F43" s="7"/>
      <c r="G43" s="8" t="s">
        <v>10</v>
      </c>
      <c r="H43" s="14"/>
      <c r="I43" s="10" t="str">
        <f t="shared" si="4"/>
        <v/>
      </c>
      <c r="J43" s="11"/>
      <c r="P43" s="12" t="str">
        <f t="shared" si="3"/>
        <v/>
      </c>
    </row>
    <row r="44" ht="22.5" customHeight="1">
      <c r="A44" s="5">
        <f t="shared" si="1"/>
        <v>24</v>
      </c>
      <c r="B44" s="6" t="str">
        <f>IF(OR(WEEKDAY(D44)=1, WEEKDAY(D44)=7), TEXT(D44, "dddd"), IF(COUNTIF(Reference!$A$13:$A$27, D44) &gt; 0, "Holiday", TEXT(D44, "dddd")))</f>
        <v>Friday</v>
      </c>
      <c r="C44" s="6" t="str">
        <f t="shared" si="2"/>
        <v>Friday</v>
      </c>
      <c r="D44" s="6">
        <v>46185.0</v>
      </c>
      <c r="E44" s="7"/>
      <c r="F44" s="7"/>
      <c r="G44" s="8" t="s">
        <v>10</v>
      </c>
      <c r="H44" s="14"/>
      <c r="I44" s="10" t="str">
        <f t="shared" si="4"/>
        <v/>
      </c>
      <c r="J44" s="11"/>
      <c r="P44" s="12" t="str">
        <f t="shared" si="3"/>
        <v/>
      </c>
    </row>
    <row r="45" ht="22.5" customHeight="1">
      <c r="A45" s="5">
        <f t="shared" si="1"/>
        <v>24</v>
      </c>
      <c r="B45" s="6" t="str">
        <f>IF(OR(WEEKDAY(D45)=1, WEEKDAY(D45)=7), TEXT(D45, "dddd"), IF(COUNTIF(Reference!$A$13:$A$27, D45) &gt; 0, "Holiday", TEXT(D45, "dddd")))</f>
        <v>Saturday</v>
      </c>
      <c r="C45" s="6" t="str">
        <f t="shared" si="2"/>
        <v>Saturday</v>
      </c>
      <c r="D45" s="6">
        <v>46186.0</v>
      </c>
      <c r="E45" s="7"/>
      <c r="F45" s="7"/>
      <c r="G45" s="16"/>
      <c r="H45" s="14"/>
      <c r="I45" s="10" t="str">
        <f t="shared" si="4"/>
        <v/>
      </c>
      <c r="J45" s="11"/>
      <c r="P45" s="12" t="str">
        <f t="shared" si="3"/>
        <v/>
      </c>
    </row>
    <row r="46" ht="22.5" customHeight="1">
      <c r="A46" s="5">
        <f t="shared" si="1"/>
        <v>24</v>
      </c>
      <c r="B46" s="6" t="str">
        <f>IF(OR(WEEKDAY(D46)=1, WEEKDAY(D46)=7), TEXT(D46, "dddd"), IF(COUNTIF(Reference!$A$13:$A$27, D46) &gt; 0, "Holiday", TEXT(D46, "dddd")))</f>
        <v>Sunday</v>
      </c>
      <c r="C46" s="6" t="str">
        <f t="shared" si="2"/>
        <v>Sunday</v>
      </c>
      <c r="D46" s="6">
        <v>46187.0</v>
      </c>
      <c r="E46" s="7"/>
      <c r="F46" s="7"/>
      <c r="G46" s="16"/>
      <c r="H46" s="14"/>
      <c r="I46" s="10" t="str">
        <f t="shared" si="4"/>
        <v/>
      </c>
      <c r="J46" s="11"/>
      <c r="P46" s="12" t="str">
        <f t="shared" si="3"/>
        <v/>
      </c>
    </row>
    <row r="47" ht="22.5" customHeight="1">
      <c r="A47" s="5">
        <f t="shared" si="1"/>
        <v>25</v>
      </c>
      <c r="B47" s="6" t="str">
        <f>IF(OR(WEEKDAY(D47)=1, WEEKDAY(D47)=7), TEXT(D47, "dddd"), IF(COUNTIF(Reference!$A$13:$A$27, D47) &gt; 0, "Holiday", TEXT(D47, "dddd")))</f>
        <v>Monday</v>
      </c>
      <c r="C47" s="6" t="str">
        <f t="shared" si="2"/>
        <v>Monday</v>
      </c>
      <c r="D47" s="6">
        <v>46188.0</v>
      </c>
      <c r="E47" s="7" t="s">
        <v>16</v>
      </c>
      <c r="F47" s="7" t="s">
        <v>17</v>
      </c>
      <c r="G47" s="8">
        <v>8.0</v>
      </c>
      <c r="H47" s="9">
        <v>58.0</v>
      </c>
      <c r="I47" s="10">
        <f t="shared" si="4"/>
        <v>8.275862069</v>
      </c>
      <c r="J47" s="11"/>
      <c r="P47" s="12" t="str">
        <f t="shared" si="3"/>
        <v>TPfC Phase 3</v>
      </c>
      <c r="Q47" s="12" t="s">
        <v>18</v>
      </c>
      <c r="R47" s="12"/>
      <c r="S47" s="12"/>
      <c r="T47" s="18"/>
      <c r="U47" s="18"/>
      <c r="V47" s="18"/>
      <c r="W47" s="18"/>
      <c r="X47" s="18"/>
    </row>
    <row r="48" ht="22.5" customHeight="1">
      <c r="A48" s="5">
        <f t="shared" si="1"/>
        <v>25</v>
      </c>
      <c r="B48" s="6" t="str">
        <f>IF(OR(WEEKDAY(D48)=1, WEEKDAY(D48)=7), TEXT(D48, "dddd"), IF(COUNTIF(Reference!$A$13:$A$27, D48) &gt; 0, "Holiday", TEXT(D48, "dddd")))</f>
        <v>Tuesday</v>
      </c>
      <c r="C48" s="6" t="str">
        <f t="shared" si="2"/>
        <v>Tuesday</v>
      </c>
      <c r="D48" s="6">
        <v>46189.0</v>
      </c>
      <c r="E48" s="7"/>
      <c r="F48" s="7"/>
      <c r="G48" s="16"/>
      <c r="H48" s="14"/>
      <c r="I48" s="10" t="str">
        <f t="shared" si="4"/>
        <v/>
      </c>
      <c r="J48" s="11"/>
      <c r="P48" s="12" t="str">
        <f t="shared" si="3"/>
        <v/>
      </c>
    </row>
    <row r="49" ht="22.5" customHeight="1">
      <c r="A49" s="5">
        <f t="shared" si="1"/>
        <v>25</v>
      </c>
      <c r="B49" s="6" t="str">
        <f>IF(OR(WEEKDAY(D49)=1, WEEKDAY(D49)=7), TEXT(D49, "dddd"), IF(COUNTIF(Reference!$A$13:$A$27, D49) &gt; 0, "Holiday", TEXT(D49, "dddd")))</f>
        <v>Wednesday</v>
      </c>
      <c r="C49" s="6" t="str">
        <f t="shared" si="2"/>
        <v>Wednesday</v>
      </c>
      <c r="D49" s="6">
        <v>46190.0</v>
      </c>
      <c r="E49" s="7"/>
      <c r="F49" s="7"/>
      <c r="G49" s="16"/>
      <c r="H49" s="14"/>
      <c r="I49" s="10" t="str">
        <f t="shared" si="4"/>
        <v/>
      </c>
      <c r="J49" s="11"/>
      <c r="P49" s="12" t="str">
        <f t="shared" si="3"/>
        <v/>
      </c>
    </row>
    <row r="50" ht="22.5" customHeight="1">
      <c r="A50" s="5">
        <f t="shared" si="1"/>
        <v>25</v>
      </c>
      <c r="B50" s="6" t="str">
        <f>IF(OR(WEEKDAY(D50)=1, WEEKDAY(D50)=7), TEXT(D50, "dddd"), IF(COUNTIF(Reference!$A$13:$A$27, D50) &gt; 0, "Holiday", TEXT(D50, "dddd")))</f>
        <v>Thursday</v>
      </c>
      <c r="C50" s="6" t="str">
        <f t="shared" si="2"/>
        <v>Thursday</v>
      </c>
      <c r="D50" s="6">
        <v>46191.0</v>
      </c>
      <c r="E50" s="7" t="s">
        <v>16</v>
      </c>
      <c r="F50" s="7" t="s">
        <v>17</v>
      </c>
      <c r="G50" s="8">
        <v>8.0</v>
      </c>
      <c r="H50" s="9">
        <v>43.0</v>
      </c>
      <c r="I50" s="10">
        <f t="shared" si="4"/>
        <v>11.1627907</v>
      </c>
      <c r="J50" s="11"/>
      <c r="P50" s="12" t="str">
        <f t="shared" si="3"/>
        <v>TPfC Phase 3</v>
      </c>
      <c r="Q50" s="12" t="s">
        <v>18</v>
      </c>
      <c r="R50" s="12"/>
      <c r="S50" s="12"/>
      <c r="T50" s="18"/>
      <c r="U50" s="18"/>
      <c r="V50" s="18"/>
      <c r="W50" s="18"/>
      <c r="X50" s="18"/>
    </row>
    <row r="51" ht="22.5" customHeight="1">
      <c r="A51" s="5">
        <f t="shared" si="1"/>
        <v>25</v>
      </c>
      <c r="B51" s="6" t="str">
        <f>IF(OR(WEEKDAY(D51)=1, WEEKDAY(D51)=7), TEXT(D51, "dddd"), IF(COUNTIF(Reference!$A$13:$A$27, D51) &gt; 0, "Holiday", TEXT(D51, "dddd")))</f>
        <v>Friday</v>
      </c>
      <c r="C51" s="6" t="str">
        <f t="shared" si="2"/>
        <v>Friday</v>
      </c>
      <c r="D51" s="6">
        <v>46192.0</v>
      </c>
      <c r="E51" s="7" t="s">
        <v>16</v>
      </c>
      <c r="F51" s="7" t="s">
        <v>17</v>
      </c>
      <c r="G51" s="8">
        <v>4.0</v>
      </c>
      <c r="H51" s="9">
        <v>20.0</v>
      </c>
      <c r="I51" s="10">
        <f t="shared" si="4"/>
        <v>12</v>
      </c>
      <c r="J51" s="11"/>
      <c r="P51" s="12" t="str">
        <f t="shared" si="3"/>
        <v>TPfC Phase 3</v>
      </c>
      <c r="Q51" s="12" t="s">
        <v>18</v>
      </c>
      <c r="R51" s="12"/>
      <c r="S51" s="12"/>
      <c r="T51" s="18"/>
      <c r="U51" s="18"/>
      <c r="V51" s="18"/>
      <c r="W51" s="18"/>
      <c r="X51" s="18"/>
    </row>
    <row r="52" ht="22.5" customHeight="1">
      <c r="A52" s="5">
        <f t="shared" si="1"/>
        <v>25</v>
      </c>
      <c r="B52" s="6" t="str">
        <f>IF(OR(WEEKDAY(D52)=1, WEEKDAY(D52)=7), TEXT(D52, "dddd"), IF(COUNTIF(Reference!$A$13:$A$27, D52) &gt; 0, "Holiday", TEXT(D52, "dddd")))</f>
        <v>Saturday</v>
      </c>
      <c r="C52" s="6" t="str">
        <f t="shared" si="2"/>
        <v>Saturday</v>
      </c>
      <c r="D52" s="6">
        <v>46193.0</v>
      </c>
      <c r="E52" s="7"/>
      <c r="F52" s="7"/>
      <c r="G52" s="16"/>
      <c r="H52" s="14"/>
      <c r="I52" s="10" t="str">
        <f t="shared" si="4"/>
        <v/>
      </c>
      <c r="J52" s="11"/>
      <c r="P52" s="12" t="str">
        <f t="shared" si="3"/>
        <v/>
      </c>
    </row>
    <row r="53" ht="22.5" customHeight="1">
      <c r="A53" s="5">
        <f t="shared" si="1"/>
        <v>25</v>
      </c>
      <c r="B53" s="6" t="str">
        <f>IF(OR(WEEKDAY(D53)=1, WEEKDAY(D53)=7), TEXT(D53, "dddd"), IF(COUNTIF(Reference!$A$13:$A$27, D53) &gt; 0, "Holiday", TEXT(D53, "dddd")))</f>
        <v>Sunday</v>
      </c>
      <c r="C53" s="6" t="str">
        <f t="shared" si="2"/>
        <v>Sunday</v>
      </c>
      <c r="D53" s="6">
        <v>46194.0</v>
      </c>
      <c r="E53" s="7"/>
      <c r="F53" s="7"/>
      <c r="G53" s="16"/>
      <c r="H53" s="14"/>
      <c r="I53" s="10" t="str">
        <f t="shared" si="4"/>
        <v/>
      </c>
      <c r="J53" s="11"/>
      <c r="P53" s="12" t="str">
        <f t="shared" si="3"/>
        <v/>
      </c>
    </row>
    <row r="54" ht="22.5" customHeight="1">
      <c r="A54" s="5">
        <f t="shared" si="1"/>
        <v>26</v>
      </c>
      <c r="B54" s="6" t="str">
        <f>IF(OR(WEEKDAY(D54)=1, WEEKDAY(D54)=7), TEXT(D54, "dddd"), IF(COUNTIF(Reference!$A$13:$A$27, D54) &gt; 0, "Holiday", TEXT(D54, "dddd")))</f>
        <v>Monday</v>
      </c>
      <c r="C54" s="6" t="str">
        <f t="shared" si="2"/>
        <v>Monday</v>
      </c>
      <c r="D54" s="6">
        <v>46195.0</v>
      </c>
      <c r="E54" s="7" t="s">
        <v>16</v>
      </c>
      <c r="F54" s="7" t="s">
        <v>17</v>
      </c>
      <c r="G54" s="8">
        <v>4.0</v>
      </c>
      <c r="H54" s="9">
        <v>28.0</v>
      </c>
      <c r="I54" s="10">
        <f t="shared" si="4"/>
        <v>8.571428571</v>
      </c>
      <c r="J54" s="11"/>
      <c r="P54" s="12" t="str">
        <f t="shared" si="3"/>
        <v>TPfC Phase 3</v>
      </c>
      <c r="Q54" s="12" t="s">
        <v>18</v>
      </c>
      <c r="R54" s="12"/>
      <c r="S54" s="12"/>
      <c r="T54" s="18"/>
      <c r="U54" s="18"/>
      <c r="V54" s="18"/>
      <c r="W54" s="18"/>
      <c r="X54" s="18"/>
    </row>
    <row r="55" ht="22.5" customHeight="1">
      <c r="A55" s="5">
        <f t="shared" si="1"/>
        <v>26</v>
      </c>
      <c r="B55" s="6" t="str">
        <f>IF(OR(WEEKDAY(D55)=1, WEEKDAY(D55)=7), TEXT(D55, "dddd"), IF(COUNTIF(Reference!$A$13:$A$27, D55) &gt; 0, "Holiday", TEXT(D55, "dddd")))</f>
        <v>Tuesday</v>
      </c>
      <c r="C55" s="6" t="str">
        <f t="shared" si="2"/>
        <v>Tuesday</v>
      </c>
      <c r="D55" s="6">
        <v>46196.0</v>
      </c>
      <c r="E55" s="7"/>
      <c r="F55" s="7"/>
      <c r="G55" s="16"/>
      <c r="H55" s="14"/>
      <c r="I55" s="10" t="str">
        <f t="shared" si="4"/>
        <v/>
      </c>
      <c r="J55" s="11"/>
      <c r="P55" s="12" t="str">
        <f t="shared" si="3"/>
        <v/>
      </c>
    </row>
    <row r="56" ht="22.5" customHeight="1">
      <c r="A56" s="5">
        <f t="shared" si="1"/>
        <v>26</v>
      </c>
      <c r="B56" s="6" t="str">
        <f>IF(OR(WEEKDAY(D56)=1, WEEKDAY(D56)=7), TEXT(D56, "dddd"), IF(COUNTIF(Reference!$A$13:$A$27, D56) &gt; 0, "Holiday", TEXT(D56, "dddd")))</f>
        <v>Wednesday</v>
      </c>
      <c r="C56" s="6" t="str">
        <f t="shared" si="2"/>
        <v>Wednesday</v>
      </c>
      <c r="D56" s="6">
        <v>46197.0</v>
      </c>
      <c r="E56" s="7"/>
      <c r="F56" s="7"/>
      <c r="G56" s="16"/>
      <c r="H56" s="14"/>
      <c r="I56" s="10" t="str">
        <f t="shared" si="4"/>
        <v/>
      </c>
      <c r="J56" s="11"/>
      <c r="P56" s="12" t="str">
        <f t="shared" si="3"/>
        <v/>
      </c>
    </row>
    <row r="57" ht="22.5" customHeight="1">
      <c r="A57" s="5">
        <f t="shared" si="1"/>
        <v>26</v>
      </c>
      <c r="B57" s="6" t="str">
        <f>IF(OR(WEEKDAY(D57)=1, WEEKDAY(D57)=7), TEXT(D57, "dddd"), IF(COUNTIF(Reference!$A$13:$A$27, D57) &gt; 0, "Holiday", TEXT(D57, "dddd")))</f>
        <v>Thursday</v>
      </c>
      <c r="C57" s="6" t="str">
        <f t="shared" si="2"/>
        <v>Thursday</v>
      </c>
      <c r="D57" s="6">
        <v>46198.0</v>
      </c>
      <c r="E57" s="7" t="s">
        <v>16</v>
      </c>
      <c r="F57" s="7" t="s">
        <v>17</v>
      </c>
      <c r="G57" s="8">
        <v>8.0</v>
      </c>
      <c r="H57" s="9">
        <v>55.0</v>
      </c>
      <c r="I57" s="10">
        <f t="shared" si="4"/>
        <v>8.727272727</v>
      </c>
      <c r="J57" s="11"/>
      <c r="P57" s="12" t="str">
        <f t="shared" si="3"/>
        <v>TPfC Phase 3</v>
      </c>
      <c r="Q57" s="12" t="s">
        <v>18</v>
      </c>
      <c r="R57" s="12"/>
      <c r="S57" s="12"/>
      <c r="T57" s="18"/>
      <c r="U57" s="18"/>
      <c r="V57" s="18"/>
      <c r="W57" s="18"/>
      <c r="X57" s="18"/>
    </row>
    <row r="58" ht="22.5" customHeight="1">
      <c r="A58" s="5">
        <f t="shared" si="1"/>
        <v>26</v>
      </c>
      <c r="B58" s="6" t="str">
        <f>IF(OR(WEEKDAY(D58)=1, WEEKDAY(D58)=7), TEXT(D58, "dddd"), IF(COUNTIF(Reference!$A$13:$A$27, D58) &gt; 0, "Holiday", TEXT(D58, "dddd")))</f>
        <v>Friday</v>
      </c>
      <c r="C58" s="6" t="str">
        <f t="shared" si="2"/>
        <v>Friday</v>
      </c>
      <c r="D58" s="6">
        <v>46199.0</v>
      </c>
      <c r="E58" s="7" t="s">
        <v>16</v>
      </c>
      <c r="F58" s="7" t="s">
        <v>17</v>
      </c>
      <c r="G58" s="16"/>
      <c r="H58" s="14"/>
      <c r="I58" s="10" t="str">
        <f t="shared" si="4"/>
        <v/>
      </c>
      <c r="J58" s="11"/>
      <c r="P58" s="12" t="str">
        <f t="shared" si="3"/>
        <v>TPfC Phase 3</v>
      </c>
      <c r="Q58" s="12" t="s">
        <v>18</v>
      </c>
      <c r="R58" s="12"/>
      <c r="S58" s="12"/>
      <c r="T58" s="18"/>
      <c r="U58" s="18"/>
      <c r="V58" s="18"/>
      <c r="W58" s="18"/>
      <c r="X58" s="18"/>
    </row>
    <row r="59" ht="22.5" customHeight="1">
      <c r="A59" s="5">
        <f t="shared" si="1"/>
        <v>26</v>
      </c>
      <c r="B59" s="6" t="str">
        <f>IF(OR(WEEKDAY(D59)=1, WEEKDAY(D59)=7), TEXT(D59, "dddd"), IF(COUNTIF(Reference!$A$13:$A$27, D59) &gt; 0, "Holiday", TEXT(D59, "dddd")))</f>
        <v>Saturday</v>
      </c>
      <c r="C59" s="6" t="str">
        <f t="shared" si="2"/>
        <v>Saturday</v>
      </c>
      <c r="D59" s="6">
        <v>46200.0</v>
      </c>
      <c r="E59" s="7"/>
      <c r="F59" s="7"/>
      <c r="G59" s="16"/>
      <c r="H59" s="14"/>
      <c r="I59" s="10" t="str">
        <f t="shared" si="4"/>
        <v/>
      </c>
      <c r="J59" s="11"/>
      <c r="P59" s="12" t="str">
        <f t="shared" si="3"/>
        <v/>
      </c>
    </row>
    <row r="60" ht="22.5" customHeight="1">
      <c r="A60" s="5">
        <f t="shared" si="1"/>
        <v>26</v>
      </c>
      <c r="B60" s="6" t="str">
        <f>IF(OR(WEEKDAY(D60)=1, WEEKDAY(D60)=7), TEXT(D60, "dddd"), IF(COUNTIF(Reference!$A$13:$A$27, D60) &gt; 0, "Holiday", TEXT(D60, "dddd")))</f>
        <v>Sunday</v>
      </c>
      <c r="C60" s="6" t="str">
        <f t="shared" si="2"/>
        <v>Sunday</v>
      </c>
      <c r="D60" s="6">
        <v>46201.0</v>
      </c>
      <c r="E60" s="7"/>
      <c r="F60" s="7"/>
      <c r="G60" s="16"/>
      <c r="H60" s="14"/>
      <c r="I60" s="10" t="str">
        <f t="shared" si="4"/>
        <v/>
      </c>
      <c r="J60" s="11"/>
      <c r="P60" s="12" t="str">
        <f t="shared" si="3"/>
        <v/>
      </c>
    </row>
    <row r="61" ht="22.5" customHeight="1">
      <c r="A61" s="5">
        <f t="shared" si="1"/>
        <v>27</v>
      </c>
      <c r="B61" s="6" t="str">
        <f>IF(OR(WEEKDAY(D61)=1, WEEKDAY(D61)=7), TEXT(D61, "dddd"), IF(COUNTIF(Reference!$A$13:$A$27, D61) &gt; 0, "Holiday", TEXT(D61, "dddd")))</f>
        <v>Monday</v>
      </c>
      <c r="C61" s="6" t="str">
        <f t="shared" si="2"/>
        <v>Monday</v>
      </c>
      <c r="D61" s="6">
        <v>46202.0</v>
      </c>
      <c r="E61" s="7"/>
      <c r="F61" s="7"/>
      <c r="G61" s="16"/>
      <c r="H61" s="14"/>
      <c r="I61" s="10" t="str">
        <f t="shared" si="4"/>
        <v/>
      </c>
      <c r="J61" s="11"/>
      <c r="P61" s="12" t="str">
        <f t="shared" si="3"/>
        <v/>
      </c>
    </row>
    <row r="62" ht="22.5" customHeight="1">
      <c r="A62" s="5">
        <f t="shared" si="1"/>
        <v>27</v>
      </c>
      <c r="B62" s="6" t="str">
        <f>IF(OR(WEEKDAY(D62)=1, WEEKDAY(D62)=7), TEXT(D62, "dddd"), IF(COUNTIF(Reference!$A$13:$A$27, D62) &gt; 0, "Holiday", TEXT(D62, "dddd")))</f>
        <v>Tuesday</v>
      </c>
      <c r="C62" s="6" t="str">
        <f t="shared" si="2"/>
        <v>Tuesday</v>
      </c>
      <c r="D62" s="6">
        <v>46203.0</v>
      </c>
      <c r="E62" s="7"/>
      <c r="F62" s="7"/>
      <c r="G62" s="16"/>
      <c r="H62" s="14"/>
      <c r="I62" s="10" t="str">
        <f t="shared" si="4"/>
        <v/>
      </c>
      <c r="J62" s="11"/>
      <c r="P62" s="12" t="str">
        <f t="shared" si="3"/>
        <v/>
      </c>
    </row>
    <row r="63" ht="22.5" customHeight="1">
      <c r="A63" s="5">
        <f t="shared" si="1"/>
        <v>27</v>
      </c>
      <c r="B63" s="6" t="str">
        <f>IF(OR(WEEKDAY(D63)=1, WEEKDAY(D63)=7), TEXT(D63, "dddd"), IF(COUNTIF(Reference!$A$13:$A$27, D63) &gt; 0, "Holiday", TEXT(D63, "dddd")))</f>
        <v>Wednesday</v>
      </c>
      <c r="C63" s="6" t="str">
        <f t="shared" si="2"/>
        <v>Wednesday</v>
      </c>
      <c r="D63" s="6">
        <v>46204.0</v>
      </c>
      <c r="E63" s="7"/>
      <c r="F63" s="7"/>
      <c r="G63" s="16"/>
      <c r="H63" s="14"/>
      <c r="I63" s="10" t="str">
        <f t="shared" si="4"/>
        <v/>
      </c>
      <c r="J63" s="11"/>
      <c r="P63" s="12" t="str">
        <f t="shared" si="3"/>
        <v/>
      </c>
    </row>
    <row r="64" ht="22.5" customHeight="1">
      <c r="A64" s="5">
        <f t="shared" si="1"/>
        <v>27</v>
      </c>
      <c r="B64" s="6" t="str">
        <f>IF(OR(WEEKDAY(D64)=1, WEEKDAY(D64)=7), TEXT(D64, "dddd"), IF(COUNTIF(Reference!$A$13:$A$27, D64) &gt; 0, "Holiday", TEXT(D64, "dddd")))</f>
        <v>Thursday</v>
      </c>
      <c r="C64" s="6" t="str">
        <f t="shared" si="2"/>
        <v>Thursday</v>
      </c>
      <c r="D64" s="6">
        <v>46205.0</v>
      </c>
      <c r="E64" s="7"/>
      <c r="F64" s="7"/>
      <c r="G64" s="16"/>
      <c r="H64" s="14"/>
      <c r="I64" s="10" t="str">
        <f t="shared" si="4"/>
        <v/>
      </c>
      <c r="J64" s="11"/>
      <c r="P64" s="12" t="str">
        <f t="shared" si="3"/>
        <v/>
      </c>
    </row>
    <row r="65" ht="22.5" customHeight="1">
      <c r="A65" s="5">
        <f t="shared" si="1"/>
        <v>27</v>
      </c>
      <c r="B65" s="6" t="str">
        <f>IF(OR(WEEKDAY(D65)=1, WEEKDAY(D65)=7), TEXT(D65, "dddd"), IF(COUNTIF(Reference!$A$13:$A$27, D65) &gt; 0, "Holiday", TEXT(D65, "dddd")))</f>
        <v>Friday</v>
      </c>
      <c r="C65" s="6" t="str">
        <f t="shared" si="2"/>
        <v>Friday</v>
      </c>
      <c r="D65" s="6">
        <v>46206.0</v>
      </c>
      <c r="E65" s="7"/>
      <c r="F65" s="7"/>
      <c r="G65" s="16"/>
      <c r="H65" s="14"/>
      <c r="I65" s="10" t="str">
        <f t="shared" si="4"/>
        <v/>
      </c>
      <c r="J65" s="11"/>
      <c r="P65" s="12" t="str">
        <f t="shared" si="3"/>
        <v/>
      </c>
    </row>
    <row r="66" ht="22.5" customHeight="1">
      <c r="A66" s="5">
        <f t="shared" si="1"/>
        <v>27</v>
      </c>
      <c r="B66" s="6" t="str">
        <f>IF(OR(WEEKDAY(D66)=1, WEEKDAY(D66)=7), TEXT(D66, "dddd"), IF(COUNTIF(Reference!$A$13:$A$27, D66) &gt; 0, "Holiday", TEXT(D66, "dddd")))</f>
        <v>Saturday</v>
      </c>
      <c r="C66" s="6" t="str">
        <f t="shared" si="2"/>
        <v>Saturday</v>
      </c>
      <c r="D66" s="6">
        <v>46207.0</v>
      </c>
      <c r="E66" s="7"/>
      <c r="F66" s="7"/>
      <c r="G66" s="16"/>
      <c r="H66" s="14"/>
      <c r="I66" s="10" t="str">
        <f t="shared" si="4"/>
        <v/>
      </c>
      <c r="J66" s="11"/>
      <c r="P66" s="12" t="str">
        <f t="shared" si="3"/>
        <v/>
      </c>
    </row>
    <row r="67" ht="22.5" customHeight="1">
      <c r="A67" s="5">
        <f t="shared" si="1"/>
        <v>27</v>
      </c>
      <c r="B67" s="6" t="str">
        <f>IF(OR(WEEKDAY(D67)=1, WEEKDAY(D67)=7), TEXT(D67, "dddd"), IF(COUNTIF(Reference!$A$13:$A$27, D67) &gt; 0, "Holiday", TEXT(D67, "dddd")))</f>
        <v>Sunday</v>
      </c>
      <c r="C67" s="6" t="str">
        <f t="shared" si="2"/>
        <v>Sunday</v>
      </c>
      <c r="D67" s="6">
        <v>46208.0</v>
      </c>
      <c r="E67" s="7"/>
      <c r="F67" s="7"/>
      <c r="G67" s="16"/>
      <c r="H67" s="14"/>
      <c r="I67" s="10" t="str">
        <f t="shared" si="4"/>
        <v/>
      </c>
      <c r="J67" s="11"/>
      <c r="P67" s="12" t="str">
        <f t="shared" si="3"/>
        <v/>
      </c>
    </row>
    <row r="68" ht="22.5" customHeight="1">
      <c r="A68" s="5">
        <f t="shared" si="1"/>
        <v>28</v>
      </c>
      <c r="B68" s="6" t="str">
        <f>IF(OR(WEEKDAY(D68)=1, WEEKDAY(D68)=7), TEXT(D68, "dddd"), IF(COUNTIF(Reference!$A$13:$A$27, D68) &gt; 0, "Holiday", TEXT(D68, "dddd")))</f>
        <v>Monday</v>
      </c>
      <c r="C68" s="6" t="str">
        <f t="shared" si="2"/>
        <v>Monday</v>
      </c>
      <c r="D68" s="6">
        <v>46209.0</v>
      </c>
      <c r="E68" s="7"/>
      <c r="F68" s="7"/>
      <c r="G68" s="16"/>
      <c r="H68" s="14"/>
      <c r="I68" s="10" t="str">
        <f t="shared" si="4"/>
        <v/>
      </c>
      <c r="J68" s="11"/>
      <c r="P68" s="12" t="str">
        <f t="shared" si="3"/>
        <v/>
      </c>
    </row>
    <row r="69" ht="22.5" customHeight="1">
      <c r="A69" s="5">
        <f t="shared" si="1"/>
        <v>28</v>
      </c>
      <c r="B69" s="6" t="str">
        <f>IF(OR(WEEKDAY(D69)=1, WEEKDAY(D69)=7), TEXT(D69, "dddd"), IF(COUNTIF(Reference!$A$13:$A$27, D69) &gt; 0, "Holiday", TEXT(D69, "dddd")))</f>
        <v>Tuesday</v>
      </c>
      <c r="C69" s="6" t="str">
        <f t="shared" si="2"/>
        <v>Tuesday</v>
      </c>
      <c r="D69" s="6">
        <v>46210.0</v>
      </c>
      <c r="E69" s="7"/>
      <c r="F69" s="7"/>
      <c r="G69" s="16"/>
      <c r="H69" s="14"/>
      <c r="I69" s="10" t="str">
        <f t="shared" si="4"/>
        <v/>
      </c>
      <c r="J69" s="11"/>
      <c r="P69" s="12" t="str">
        <f t="shared" si="3"/>
        <v/>
      </c>
    </row>
    <row r="70" ht="22.5" customHeight="1">
      <c r="A70" s="5">
        <f t="shared" si="1"/>
        <v>28</v>
      </c>
      <c r="B70" s="6" t="str">
        <f>IF(OR(WEEKDAY(D70)=1, WEEKDAY(D70)=7), TEXT(D70, "dddd"), IF(COUNTIF(Reference!$A$13:$A$27, D70) &gt; 0, "Holiday", TEXT(D70, "dddd")))</f>
        <v>Wednesday</v>
      </c>
      <c r="C70" s="6" t="str">
        <f t="shared" si="2"/>
        <v>Wednesday</v>
      </c>
      <c r="D70" s="6">
        <v>46211.0</v>
      </c>
      <c r="E70" s="7"/>
      <c r="F70" s="7"/>
      <c r="G70" s="16"/>
      <c r="H70" s="14"/>
      <c r="I70" s="10" t="str">
        <f t="shared" si="4"/>
        <v/>
      </c>
      <c r="J70" s="11"/>
      <c r="P70" s="12" t="str">
        <f t="shared" si="3"/>
        <v/>
      </c>
    </row>
    <row r="71" ht="22.5" customHeight="1">
      <c r="A71" s="5">
        <f t="shared" si="1"/>
        <v>28</v>
      </c>
      <c r="B71" s="6" t="str">
        <f>IF(OR(WEEKDAY(D71)=1, WEEKDAY(D71)=7), TEXT(D71, "dddd"), IF(COUNTIF(Reference!$A$13:$A$27, D71) &gt; 0, "Holiday", TEXT(D71, "dddd")))</f>
        <v>Thursday</v>
      </c>
      <c r="C71" s="6" t="str">
        <f t="shared" si="2"/>
        <v>Thursday</v>
      </c>
      <c r="D71" s="6">
        <v>46212.0</v>
      </c>
      <c r="E71" s="7"/>
      <c r="F71" s="7"/>
      <c r="G71" s="16"/>
      <c r="H71" s="14"/>
      <c r="I71" s="10" t="str">
        <f t="shared" si="4"/>
        <v/>
      </c>
      <c r="J71" s="11"/>
      <c r="P71" s="12" t="str">
        <f t="shared" si="3"/>
        <v/>
      </c>
    </row>
    <row r="72" ht="22.5" customHeight="1">
      <c r="A72" s="5">
        <f t="shared" si="1"/>
        <v>28</v>
      </c>
      <c r="B72" s="6" t="str">
        <f>IF(OR(WEEKDAY(D72)=1, WEEKDAY(D72)=7), TEXT(D72, "dddd"), IF(COUNTIF(Reference!$A$13:$A$27, D72) &gt; 0, "Holiday", TEXT(D72, "dddd")))</f>
        <v>Friday</v>
      </c>
      <c r="C72" s="6" t="str">
        <f t="shared" si="2"/>
        <v>Friday</v>
      </c>
      <c r="D72" s="6">
        <v>46213.0</v>
      </c>
      <c r="E72" s="7"/>
      <c r="F72" s="7"/>
      <c r="G72" s="16"/>
      <c r="H72" s="14"/>
      <c r="I72" s="10" t="str">
        <f t="shared" si="4"/>
        <v/>
      </c>
      <c r="J72" s="11"/>
      <c r="P72" s="12" t="str">
        <f t="shared" si="3"/>
        <v/>
      </c>
    </row>
    <row r="73" ht="22.5" customHeight="1">
      <c r="A73" s="5">
        <f t="shared" si="1"/>
        <v>28</v>
      </c>
      <c r="B73" s="6" t="str">
        <f>IF(OR(WEEKDAY(D73)=1, WEEKDAY(D73)=7), TEXT(D73, "dddd"), IF(COUNTIF(Reference!$A$13:$A$27, D73) &gt; 0, "Holiday", TEXT(D73, "dddd")))</f>
        <v>Saturday</v>
      </c>
      <c r="C73" s="6" t="str">
        <f t="shared" si="2"/>
        <v>Saturday</v>
      </c>
      <c r="D73" s="6">
        <v>46214.0</v>
      </c>
      <c r="E73" s="7"/>
      <c r="F73" s="7"/>
      <c r="G73" s="16"/>
      <c r="H73" s="14"/>
      <c r="I73" s="10" t="str">
        <f t="shared" si="4"/>
        <v/>
      </c>
      <c r="J73" s="11"/>
      <c r="P73" s="12" t="str">
        <f t="shared" si="3"/>
        <v/>
      </c>
    </row>
    <row r="74" ht="22.5" customHeight="1">
      <c r="A74" s="5">
        <f t="shared" si="1"/>
        <v>28</v>
      </c>
      <c r="B74" s="6" t="str">
        <f>IF(OR(WEEKDAY(D74)=1, WEEKDAY(D74)=7), TEXT(D74, "dddd"), IF(COUNTIF(Reference!$A$13:$A$27, D74) &gt; 0, "Holiday", TEXT(D74, "dddd")))</f>
        <v>Sunday</v>
      </c>
      <c r="C74" s="6" t="str">
        <f t="shared" si="2"/>
        <v>Sunday</v>
      </c>
      <c r="D74" s="6">
        <v>46215.0</v>
      </c>
      <c r="E74" s="7"/>
      <c r="F74" s="7"/>
      <c r="G74" s="16"/>
      <c r="H74" s="14"/>
      <c r="I74" s="10" t="str">
        <f t="shared" si="4"/>
        <v/>
      </c>
      <c r="J74" s="11"/>
      <c r="P74" s="12" t="str">
        <f t="shared" si="3"/>
        <v/>
      </c>
    </row>
    <row r="75" ht="22.5" customHeight="1">
      <c r="A75" s="5">
        <f t="shared" si="1"/>
        <v>29</v>
      </c>
      <c r="B75" s="6" t="str">
        <f>IF(OR(WEEKDAY(D75)=1, WEEKDAY(D75)=7), TEXT(D75, "dddd"), IF(COUNTIF(Reference!$A$13:$A$27, D75) &gt; 0, "Holiday", TEXT(D75, "dddd")))</f>
        <v>Monday</v>
      </c>
      <c r="C75" s="6" t="str">
        <f t="shared" si="2"/>
        <v>Monday</v>
      </c>
      <c r="D75" s="6">
        <v>46216.0</v>
      </c>
      <c r="E75" s="7"/>
      <c r="F75" s="7"/>
      <c r="G75" s="16"/>
      <c r="H75" s="14"/>
      <c r="I75" s="10" t="str">
        <f t="shared" si="4"/>
        <v/>
      </c>
      <c r="J75" s="11"/>
      <c r="P75" s="12" t="str">
        <f t="shared" si="3"/>
        <v/>
      </c>
    </row>
    <row r="76" ht="22.5" customHeight="1">
      <c r="A76" s="5">
        <f t="shared" si="1"/>
        <v>29</v>
      </c>
      <c r="B76" s="6" t="str">
        <f>IF(OR(WEEKDAY(D76)=1, WEEKDAY(D76)=7), TEXT(D76, "dddd"), IF(COUNTIF(Reference!$A$13:$A$27, D76) &gt; 0, "Holiday", TEXT(D76, "dddd")))</f>
        <v>Tuesday</v>
      </c>
      <c r="C76" s="6" t="str">
        <f t="shared" si="2"/>
        <v>Tuesday</v>
      </c>
      <c r="D76" s="6">
        <v>46217.0</v>
      </c>
      <c r="E76" s="7"/>
      <c r="F76" s="7"/>
      <c r="G76" s="16"/>
      <c r="H76" s="14"/>
      <c r="I76" s="10" t="str">
        <f t="shared" si="4"/>
        <v/>
      </c>
      <c r="J76" s="11"/>
      <c r="P76" s="12" t="str">
        <f t="shared" si="3"/>
        <v/>
      </c>
    </row>
    <row r="77" ht="22.5" customHeight="1">
      <c r="A77" s="5">
        <f t="shared" si="1"/>
        <v>29</v>
      </c>
      <c r="B77" s="6" t="str">
        <f>IF(OR(WEEKDAY(D77)=1, WEEKDAY(D77)=7), TEXT(D77, "dddd"), IF(COUNTIF(Reference!$A$13:$A$27, D77) &gt; 0, "Holiday", TEXT(D77, "dddd")))</f>
        <v>Wednesday</v>
      </c>
      <c r="C77" s="6" t="str">
        <f t="shared" si="2"/>
        <v>Wednesday</v>
      </c>
      <c r="D77" s="6">
        <v>46218.0</v>
      </c>
      <c r="E77" s="7"/>
      <c r="F77" s="7"/>
      <c r="G77" s="16"/>
      <c r="H77" s="14"/>
      <c r="I77" s="10" t="str">
        <f t="shared" si="4"/>
        <v/>
      </c>
      <c r="J77" s="11"/>
      <c r="P77" s="12" t="str">
        <f t="shared" si="3"/>
        <v/>
      </c>
    </row>
    <row r="78" ht="22.5" customHeight="1">
      <c r="A78" s="5">
        <f t="shared" si="1"/>
        <v>29</v>
      </c>
      <c r="B78" s="6" t="str">
        <f>IF(OR(WEEKDAY(D78)=1, WEEKDAY(D78)=7), TEXT(D78, "dddd"), IF(COUNTIF(Reference!$A$13:$A$27, D78) &gt; 0, "Holiday", TEXT(D78, "dddd")))</f>
        <v>Thursday</v>
      </c>
      <c r="C78" s="6" t="str">
        <f t="shared" si="2"/>
        <v>Thursday</v>
      </c>
      <c r="D78" s="6">
        <v>46219.0</v>
      </c>
      <c r="E78" s="7"/>
      <c r="F78" s="7"/>
      <c r="G78" s="16"/>
      <c r="H78" s="14"/>
      <c r="I78" s="10" t="str">
        <f t="shared" si="4"/>
        <v/>
      </c>
      <c r="J78" s="11"/>
      <c r="P78" s="12" t="str">
        <f t="shared" si="3"/>
        <v/>
      </c>
    </row>
    <row r="79" ht="22.5" customHeight="1">
      <c r="A79" s="5">
        <f t="shared" si="1"/>
        <v>29</v>
      </c>
      <c r="B79" s="6" t="str">
        <f>IF(OR(WEEKDAY(D79)=1, WEEKDAY(D79)=7), TEXT(D79, "dddd"), IF(COUNTIF(Reference!$A$13:$A$27, D79) &gt; 0, "Holiday", TEXT(D79, "dddd")))</f>
        <v>Friday</v>
      </c>
      <c r="C79" s="6" t="str">
        <f t="shared" si="2"/>
        <v>Friday</v>
      </c>
      <c r="D79" s="6">
        <v>46220.0</v>
      </c>
      <c r="E79" s="7"/>
      <c r="F79" s="7"/>
      <c r="G79" s="16"/>
      <c r="H79" s="14"/>
      <c r="I79" s="10" t="str">
        <f t="shared" si="4"/>
        <v/>
      </c>
      <c r="J79" s="11"/>
      <c r="P79" s="12" t="str">
        <f t="shared" si="3"/>
        <v/>
      </c>
    </row>
    <row r="80" ht="22.5" customHeight="1">
      <c r="A80" s="5">
        <f t="shared" si="1"/>
        <v>29</v>
      </c>
      <c r="B80" s="6" t="str">
        <f>IF(OR(WEEKDAY(D80)=1, WEEKDAY(D80)=7), TEXT(D80, "dddd"), IF(COUNTIF(Reference!$A$13:$A$27, D80) &gt; 0, "Holiday", TEXT(D80, "dddd")))</f>
        <v>Saturday</v>
      </c>
      <c r="C80" s="6" t="str">
        <f t="shared" si="2"/>
        <v>Saturday</v>
      </c>
      <c r="D80" s="6">
        <v>46221.0</v>
      </c>
      <c r="E80" s="7"/>
      <c r="F80" s="7"/>
      <c r="G80" s="16"/>
      <c r="H80" s="14"/>
      <c r="I80" s="10" t="str">
        <f t="shared" si="4"/>
        <v/>
      </c>
      <c r="J80" s="11"/>
      <c r="P80" s="12" t="str">
        <f t="shared" si="3"/>
        <v/>
      </c>
    </row>
    <row r="81" ht="22.5" customHeight="1">
      <c r="A81" s="5">
        <f t="shared" si="1"/>
        <v>29</v>
      </c>
      <c r="B81" s="6" t="str">
        <f>IF(OR(WEEKDAY(D81)=1, WEEKDAY(D81)=7), TEXT(D81, "dddd"), IF(COUNTIF(Reference!$A$13:$A$27, D81) &gt; 0, "Holiday", TEXT(D81, "dddd")))</f>
        <v>Sunday</v>
      </c>
      <c r="C81" s="6" t="str">
        <f t="shared" si="2"/>
        <v>Sunday</v>
      </c>
      <c r="D81" s="6">
        <v>46222.0</v>
      </c>
      <c r="E81" s="7"/>
      <c r="F81" s="7"/>
      <c r="G81" s="16"/>
      <c r="H81" s="14"/>
      <c r="I81" s="10" t="str">
        <f t="shared" si="4"/>
        <v/>
      </c>
      <c r="J81" s="11"/>
      <c r="P81" s="12" t="str">
        <f t="shared" si="3"/>
        <v/>
      </c>
    </row>
    <row r="82" ht="22.5" customHeight="1">
      <c r="A82" s="5">
        <f t="shared" si="1"/>
        <v>30</v>
      </c>
      <c r="B82" s="6" t="str">
        <f>IF(OR(WEEKDAY(D82)=1, WEEKDAY(D82)=7), TEXT(D82, "dddd"), IF(COUNTIF(Reference!$A$13:$A$27, D82) &gt; 0, "Holiday", TEXT(D82, "dddd")))</f>
        <v>Monday</v>
      </c>
      <c r="C82" s="6" t="str">
        <f t="shared" si="2"/>
        <v>Monday</v>
      </c>
      <c r="D82" s="6">
        <v>46223.0</v>
      </c>
      <c r="E82" s="7"/>
      <c r="F82" s="7"/>
      <c r="G82" s="16"/>
      <c r="H82" s="14"/>
      <c r="I82" s="10" t="str">
        <f t="shared" si="4"/>
        <v/>
      </c>
      <c r="J82" s="11"/>
      <c r="P82" s="12" t="str">
        <f t="shared" si="3"/>
        <v/>
      </c>
    </row>
    <row r="83" ht="22.5" customHeight="1">
      <c r="A83" s="5">
        <f t="shared" si="1"/>
        <v>30</v>
      </c>
      <c r="B83" s="6" t="str">
        <f>IF(OR(WEEKDAY(D83)=1, WEEKDAY(D83)=7), TEXT(D83, "dddd"), IF(COUNTIF(Reference!$A$13:$A$27, D83) &gt; 0, "Holiday", TEXT(D83, "dddd")))</f>
        <v>Tuesday</v>
      </c>
      <c r="C83" s="6" t="str">
        <f t="shared" si="2"/>
        <v>Tuesday</v>
      </c>
      <c r="D83" s="6">
        <v>46224.0</v>
      </c>
      <c r="E83" s="7"/>
      <c r="F83" s="7"/>
      <c r="G83" s="16"/>
      <c r="H83" s="14"/>
      <c r="I83" s="10" t="str">
        <f t="shared" si="4"/>
        <v/>
      </c>
      <c r="J83" s="11"/>
      <c r="P83" s="12" t="str">
        <f t="shared" si="3"/>
        <v/>
      </c>
    </row>
    <row r="84" ht="22.5" customHeight="1">
      <c r="A84" s="5">
        <f t="shared" si="1"/>
        <v>30</v>
      </c>
      <c r="B84" s="6" t="str">
        <f>IF(OR(WEEKDAY(D84)=1, WEEKDAY(D84)=7), TEXT(D84, "dddd"), IF(COUNTIF(Reference!$A$13:$A$27, D84) &gt; 0, "Holiday", TEXT(D84, "dddd")))</f>
        <v>Wednesday</v>
      </c>
      <c r="C84" s="6" t="str">
        <f t="shared" si="2"/>
        <v>Wednesday</v>
      </c>
      <c r="D84" s="6">
        <v>46225.0</v>
      </c>
      <c r="E84" s="7"/>
      <c r="F84" s="7"/>
      <c r="G84" s="16"/>
      <c r="H84" s="14"/>
      <c r="I84" s="10" t="str">
        <f t="shared" si="4"/>
        <v/>
      </c>
      <c r="J84" s="11"/>
      <c r="P84" s="12" t="str">
        <f t="shared" si="3"/>
        <v/>
      </c>
    </row>
    <row r="85" ht="22.5" customHeight="1">
      <c r="A85" s="5">
        <f t="shared" si="1"/>
        <v>30</v>
      </c>
      <c r="B85" s="6" t="str">
        <f>IF(OR(WEEKDAY(D85)=1, WEEKDAY(D85)=7), TEXT(D85, "dddd"), IF(COUNTIF(Reference!$A$13:$A$27, D85) &gt; 0, "Holiday", TEXT(D85, "dddd")))</f>
        <v>Thursday</v>
      </c>
      <c r="C85" s="6" t="str">
        <f t="shared" si="2"/>
        <v>Thursday</v>
      </c>
      <c r="D85" s="6">
        <v>46226.0</v>
      </c>
      <c r="E85" s="7"/>
      <c r="F85" s="7"/>
      <c r="G85" s="16"/>
      <c r="H85" s="14"/>
      <c r="I85" s="10" t="str">
        <f t="shared" si="4"/>
        <v/>
      </c>
      <c r="J85" s="11"/>
      <c r="P85" s="12" t="str">
        <f t="shared" si="3"/>
        <v/>
      </c>
    </row>
    <row r="86" ht="22.5" customHeight="1">
      <c r="A86" s="5">
        <f t="shared" si="1"/>
        <v>30</v>
      </c>
      <c r="B86" s="6" t="str">
        <f>IF(OR(WEEKDAY(D86)=1, WEEKDAY(D86)=7), TEXT(D86, "dddd"), IF(COUNTIF(Reference!$A$13:$A$27, D86) &gt; 0, "Holiday", TEXT(D86, "dddd")))</f>
        <v>Friday</v>
      </c>
      <c r="C86" s="6" t="str">
        <f t="shared" si="2"/>
        <v>Friday</v>
      </c>
      <c r="D86" s="6">
        <v>46227.0</v>
      </c>
      <c r="E86" s="7"/>
      <c r="F86" s="7"/>
      <c r="G86" s="16"/>
      <c r="H86" s="14"/>
      <c r="I86" s="10" t="str">
        <f t="shared" si="4"/>
        <v/>
      </c>
      <c r="J86" s="11"/>
      <c r="P86" s="12" t="str">
        <f t="shared" si="3"/>
        <v/>
      </c>
    </row>
    <row r="87" ht="22.5" customHeight="1">
      <c r="A87" s="5">
        <f t="shared" si="1"/>
        <v>30</v>
      </c>
      <c r="B87" s="6" t="str">
        <f>IF(OR(WEEKDAY(D87)=1, WEEKDAY(D87)=7), TEXT(D87, "dddd"), IF(COUNTIF(Reference!$A$13:$A$27, D87) &gt; 0, "Holiday", TEXT(D87, "dddd")))</f>
        <v>Saturday</v>
      </c>
      <c r="C87" s="6" t="str">
        <f t="shared" si="2"/>
        <v>Saturday</v>
      </c>
      <c r="D87" s="6">
        <v>46228.0</v>
      </c>
      <c r="E87" s="7"/>
      <c r="F87" s="7"/>
      <c r="G87" s="16"/>
      <c r="H87" s="14"/>
      <c r="I87" s="10" t="str">
        <f t="shared" si="4"/>
        <v/>
      </c>
      <c r="J87" s="11"/>
      <c r="P87" s="12" t="str">
        <f t="shared" si="3"/>
        <v/>
      </c>
    </row>
    <row r="88" ht="22.5" customHeight="1">
      <c r="A88" s="5">
        <f t="shared" si="1"/>
        <v>30</v>
      </c>
      <c r="B88" s="6" t="str">
        <f>IF(OR(WEEKDAY(D88)=1, WEEKDAY(D88)=7), TEXT(D88, "dddd"), IF(COUNTIF(Reference!$A$13:$A$27, D88) &gt; 0, "Holiday", TEXT(D88, "dddd")))</f>
        <v>Sunday</v>
      </c>
      <c r="C88" s="6" t="str">
        <f t="shared" si="2"/>
        <v>Sunday</v>
      </c>
      <c r="D88" s="6">
        <v>46229.0</v>
      </c>
      <c r="E88" s="7"/>
      <c r="F88" s="7"/>
      <c r="G88" s="16"/>
      <c r="H88" s="14"/>
      <c r="I88" s="10" t="str">
        <f t="shared" si="4"/>
        <v/>
      </c>
      <c r="J88" s="11"/>
      <c r="P88" s="12" t="str">
        <f t="shared" si="3"/>
        <v/>
      </c>
    </row>
    <row r="89" ht="22.5" customHeight="1">
      <c r="A89" s="5">
        <f t="shared" si="1"/>
        <v>31</v>
      </c>
      <c r="B89" s="6" t="str">
        <f>IF(OR(WEEKDAY(D89)=1, WEEKDAY(D89)=7), TEXT(D89, "dddd"), IF(COUNTIF(Reference!$A$13:$A$27, D89) &gt; 0, "Holiday", TEXT(D89, "dddd")))</f>
        <v>Monday</v>
      </c>
      <c r="C89" s="6" t="str">
        <f t="shared" si="2"/>
        <v>Monday</v>
      </c>
      <c r="D89" s="6">
        <v>46230.0</v>
      </c>
      <c r="E89" s="7"/>
      <c r="F89" s="7"/>
      <c r="G89" s="16"/>
      <c r="H89" s="14"/>
      <c r="I89" s="10" t="str">
        <f t="shared" si="4"/>
        <v/>
      </c>
      <c r="J89" s="11"/>
      <c r="P89" s="12" t="str">
        <f t="shared" si="3"/>
        <v/>
      </c>
    </row>
    <row r="90" ht="22.5" customHeight="1">
      <c r="A90" s="5">
        <f t="shared" si="1"/>
        <v>31</v>
      </c>
      <c r="B90" s="6" t="str">
        <f>IF(OR(WEEKDAY(D90)=1, WEEKDAY(D90)=7), TEXT(D90, "dddd"), IF(COUNTIF(Reference!$A$13:$A$27, D90) &gt; 0, "Holiday", TEXT(D90, "dddd")))</f>
        <v>Tuesday</v>
      </c>
      <c r="C90" s="6" t="str">
        <f t="shared" si="2"/>
        <v>Tuesday</v>
      </c>
      <c r="D90" s="6">
        <v>46231.0</v>
      </c>
      <c r="E90" s="7"/>
      <c r="F90" s="7"/>
      <c r="G90" s="16"/>
      <c r="H90" s="14"/>
      <c r="I90" s="10" t="str">
        <f t="shared" si="4"/>
        <v/>
      </c>
      <c r="J90" s="11"/>
      <c r="P90" s="12" t="str">
        <f t="shared" si="3"/>
        <v/>
      </c>
    </row>
    <row r="91" ht="22.5" customHeight="1">
      <c r="A91" s="5">
        <f t="shared" si="1"/>
        <v>31</v>
      </c>
      <c r="B91" s="6" t="str">
        <f>IF(OR(WEEKDAY(D91)=1, WEEKDAY(D91)=7), TEXT(D91, "dddd"), IF(COUNTIF(Reference!$A$13:$A$27, D91) &gt; 0, "Holiday", TEXT(D91, "dddd")))</f>
        <v>Wednesday</v>
      </c>
      <c r="C91" s="6" t="str">
        <f t="shared" si="2"/>
        <v>Wednesday</v>
      </c>
      <c r="D91" s="6">
        <v>46232.0</v>
      </c>
      <c r="E91" s="7"/>
      <c r="F91" s="7"/>
      <c r="G91" s="16"/>
      <c r="H91" s="14"/>
      <c r="I91" s="10" t="str">
        <f t="shared" si="4"/>
        <v/>
      </c>
      <c r="J91" s="11"/>
      <c r="P91" s="12" t="str">
        <f t="shared" si="3"/>
        <v/>
      </c>
    </row>
    <row r="92" ht="22.5" customHeight="1">
      <c r="A92" s="5">
        <f t="shared" si="1"/>
        <v>31</v>
      </c>
      <c r="B92" s="6" t="str">
        <f>IF(OR(WEEKDAY(D92)=1, WEEKDAY(D92)=7), TEXT(D92, "dddd"), IF(COUNTIF(Reference!$A$13:$A$27, D92) &gt; 0, "Holiday", TEXT(D92, "dddd")))</f>
        <v>Thursday</v>
      </c>
      <c r="C92" s="6" t="str">
        <f t="shared" si="2"/>
        <v>Thursday</v>
      </c>
      <c r="D92" s="6">
        <v>46233.0</v>
      </c>
      <c r="E92" s="7"/>
      <c r="F92" s="7"/>
      <c r="G92" s="16"/>
      <c r="H92" s="14"/>
      <c r="I92" s="10" t="str">
        <f t="shared" si="4"/>
        <v/>
      </c>
      <c r="J92" s="11"/>
      <c r="P92" s="12" t="str">
        <f t="shared" si="3"/>
        <v/>
      </c>
    </row>
    <row r="93" ht="22.5" customHeight="1">
      <c r="A93" s="5">
        <f t="shared" si="1"/>
        <v>31</v>
      </c>
      <c r="B93" s="6" t="str">
        <f>IF(OR(WEEKDAY(D93)=1, WEEKDAY(D93)=7), TEXT(D93, "dddd"), IF(COUNTIF(Reference!$A$13:$A$27, D93) &gt; 0, "Holiday", TEXT(D93, "dddd")))</f>
        <v>Friday</v>
      </c>
      <c r="C93" s="6" t="str">
        <f t="shared" si="2"/>
        <v>Friday</v>
      </c>
      <c r="D93" s="6">
        <v>46234.0</v>
      </c>
      <c r="E93" s="7"/>
      <c r="F93" s="7"/>
      <c r="G93" s="16"/>
      <c r="H93" s="14"/>
      <c r="I93" s="10" t="str">
        <f t="shared" si="4"/>
        <v/>
      </c>
      <c r="J93" s="11"/>
      <c r="P93" s="12" t="str">
        <f t="shared" si="3"/>
        <v/>
      </c>
    </row>
    <row r="94" ht="22.5" customHeight="1">
      <c r="A94" s="5">
        <f t="shared" si="1"/>
        <v>31</v>
      </c>
      <c r="B94" s="6" t="str">
        <f>IF(OR(WEEKDAY(D94)=1, WEEKDAY(D94)=7), TEXT(D94, "dddd"), IF(COUNTIF(Reference!$A$13:$A$27, D94) &gt; 0, "Holiday", TEXT(D94, "dddd")))</f>
        <v>Saturday</v>
      </c>
      <c r="C94" s="6" t="str">
        <f t="shared" si="2"/>
        <v>Saturday</v>
      </c>
      <c r="D94" s="6">
        <v>46235.0</v>
      </c>
      <c r="E94" s="7"/>
      <c r="F94" s="7"/>
      <c r="G94" s="16"/>
      <c r="H94" s="14"/>
      <c r="I94" s="10" t="str">
        <f t="shared" si="4"/>
        <v/>
      </c>
      <c r="J94" s="11"/>
      <c r="P94" s="12" t="str">
        <f t="shared" si="3"/>
        <v/>
      </c>
    </row>
    <row r="95" ht="22.5" customHeight="1">
      <c r="A95" s="5">
        <f t="shared" si="1"/>
        <v>31</v>
      </c>
      <c r="B95" s="6" t="str">
        <f>IF(OR(WEEKDAY(D95)=1, WEEKDAY(D95)=7), TEXT(D95, "dddd"), IF(COUNTIF(Reference!$A$13:$A$27, D95) &gt; 0, "Holiday", TEXT(D95, "dddd")))</f>
        <v>Sunday</v>
      </c>
      <c r="C95" s="6" t="str">
        <f t="shared" si="2"/>
        <v>Sunday</v>
      </c>
      <c r="D95" s="6">
        <v>46236.0</v>
      </c>
      <c r="E95" s="7"/>
      <c r="F95" s="7"/>
      <c r="G95" s="16"/>
      <c r="H95" s="14"/>
      <c r="I95" s="10" t="str">
        <f t="shared" si="4"/>
        <v/>
      </c>
      <c r="J95" s="11"/>
      <c r="P95" s="12" t="str">
        <f t="shared" si="3"/>
        <v/>
      </c>
    </row>
    <row r="96" ht="22.5" customHeight="1">
      <c r="A96" s="5">
        <f t="shared" si="1"/>
        <v>32</v>
      </c>
      <c r="B96" s="6" t="str">
        <f>IF(OR(WEEKDAY(D96)=1, WEEKDAY(D96)=7), TEXT(D96, "dddd"), IF(COUNTIF(Reference!$A$13:$A$27, D96) &gt; 0, "Holiday", TEXT(D96, "dddd")))</f>
        <v>Monday</v>
      </c>
      <c r="C96" s="6" t="str">
        <f t="shared" si="2"/>
        <v>Monday</v>
      </c>
      <c r="D96" s="6">
        <v>46237.0</v>
      </c>
      <c r="E96" s="7"/>
      <c r="F96" s="7"/>
      <c r="G96" s="16"/>
      <c r="H96" s="14"/>
      <c r="I96" s="10" t="str">
        <f t="shared" si="4"/>
        <v/>
      </c>
      <c r="J96" s="11"/>
      <c r="P96" s="12" t="str">
        <f t="shared" si="3"/>
        <v/>
      </c>
    </row>
    <row r="97" ht="22.5" customHeight="1">
      <c r="A97" s="5">
        <f t="shared" si="1"/>
        <v>32</v>
      </c>
      <c r="B97" s="6" t="str">
        <f>IF(OR(WEEKDAY(D97)=1, WEEKDAY(D97)=7), TEXT(D97, "dddd"), IF(COUNTIF(Reference!$A$13:$A$27, D97) &gt; 0, "Holiday", TEXT(D97, "dddd")))</f>
        <v>Tuesday</v>
      </c>
      <c r="C97" s="6" t="str">
        <f t="shared" si="2"/>
        <v>Tuesday</v>
      </c>
      <c r="D97" s="6">
        <v>46238.0</v>
      </c>
      <c r="E97" s="7"/>
      <c r="F97" s="7"/>
      <c r="G97" s="16"/>
      <c r="H97" s="14"/>
      <c r="I97" s="10" t="str">
        <f t="shared" si="4"/>
        <v/>
      </c>
      <c r="J97" s="11"/>
      <c r="P97" s="12" t="str">
        <f t="shared" si="3"/>
        <v/>
      </c>
    </row>
    <row r="98" ht="22.5" customHeight="1">
      <c r="A98" s="5">
        <f t="shared" si="1"/>
        <v>32</v>
      </c>
      <c r="B98" s="6" t="str">
        <f>IF(OR(WEEKDAY(D98)=1, WEEKDAY(D98)=7), TEXT(D98, "dddd"), IF(COUNTIF(Reference!$A$13:$A$27, D98) &gt; 0, "Holiday", TEXT(D98, "dddd")))</f>
        <v>Wednesday</v>
      </c>
      <c r="C98" s="6" t="str">
        <f t="shared" si="2"/>
        <v>Wednesday</v>
      </c>
      <c r="D98" s="6">
        <v>46239.0</v>
      </c>
      <c r="E98" s="7"/>
      <c r="F98" s="7"/>
      <c r="G98" s="16"/>
      <c r="H98" s="14"/>
      <c r="I98" s="10" t="str">
        <f t="shared" si="4"/>
        <v/>
      </c>
      <c r="J98" s="11"/>
      <c r="P98" s="12" t="str">
        <f t="shared" si="3"/>
        <v/>
      </c>
    </row>
    <row r="99" ht="22.5" customHeight="1">
      <c r="A99" s="5">
        <f t="shared" si="1"/>
        <v>32</v>
      </c>
      <c r="B99" s="6" t="str">
        <f>IF(OR(WEEKDAY(D99)=1, WEEKDAY(D99)=7), TEXT(D99, "dddd"), IF(COUNTIF(Reference!$A$13:$A$27, D99) &gt; 0, "Holiday", TEXT(D99, "dddd")))</f>
        <v>Thursday</v>
      </c>
      <c r="C99" s="6" t="str">
        <f t="shared" si="2"/>
        <v>Thursday</v>
      </c>
      <c r="D99" s="6">
        <v>46240.0</v>
      </c>
      <c r="E99" s="7"/>
      <c r="F99" s="7"/>
      <c r="G99" s="16"/>
      <c r="H99" s="14"/>
      <c r="I99" s="10" t="str">
        <f t="shared" si="4"/>
        <v/>
      </c>
      <c r="J99" s="11"/>
      <c r="P99" s="12" t="str">
        <f t="shared" si="3"/>
        <v/>
      </c>
    </row>
    <row r="100" ht="22.5" customHeight="1">
      <c r="A100" s="5">
        <f t="shared" si="1"/>
        <v>32</v>
      </c>
      <c r="B100" s="6" t="str">
        <f>IF(OR(WEEKDAY(D100)=1, WEEKDAY(D100)=7), TEXT(D100, "dddd"), IF(COUNTIF(Reference!$A$13:$A$27, D100) &gt; 0, "Holiday", TEXT(D100, "dddd")))</f>
        <v>Friday</v>
      </c>
      <c r="C100" s="6" t="str">
        <f t="shared" si="2"/>
        <v>Friday</v>
      </c>
      <c r="D100" s="6">
        <v>46241.0</v>
      </c>
      <c r="E100" s="7"/>
      <c r="F100" s="7"/>
      <c r="G100" s="16"/>
      <c r="H100" s="14"/>
      <c r="I100" s="10" t="str">
        <f t="shared" si="4"/>
        <v/>
      </c>
      <c r="J100" s="11"/>
      <c r="P100" s="12" t="str">
        <f t="shared" si="3"/>
        <v/>
      </c>
    </row>
    <row r="101" ht="22.5" customHeight="1">
      <c r="A101" s="5">
        <f t="shared" si="1"/>
        <v>32</v>
      </c>
      <c r="B101" s="6" t="str">
        <f>IF(OR(WEEKDAY(D101)=1, WEEKDAY(D101)=7), TEXT(D101, "dddd"), IF(COUNTIF(Reference!$A$13:$A$27, D101) &gt; 0, "Holiday", TEXT(D101, "dddd")))</f>
        <v>Saturday</v>
      </c>
      <c r="C101" s="6" t="str">
        <f t="shared" si="2"/>
        <v>Saturday</v>
      </c>
      <c r="D101" s="6">
        <v>46242.0</v>
      </c>
      <c r="E101" s="7"/>
      <c r="F101" s="7"/>
      <c r="G101" s="16"/>
      <c r="H101" s="14"/>
      <c r="I101" s="10" t="str">
        <f t="shared" si="4"/>
        <v/>
      </c>
      <c r="J101" s="11"/>
      <c r="P101" s="12" t="str">
        <f t="shared" si="3"/>
        <v/>
      </c>
    </row>
    <row r="102" ht="22.5" customHeight="1">
      <c r="A102" s="5">
        <f t="shared" si="1"/>
        <v>32</v>
      </c>
      <c r="B102" s="6" t="str">
        <f>IF(OR(WEEKDAY(D102)=1, WEEKDAY(D102)=7), TEXT(D102, "dddd"), IF(COUNTIF(Reference!$A$13:$A$27, D102) &gt; 0, "Holiday", TEXT(D102, "dddd")))</f>
        <v>Sunday</v>
      </c>
      <c r="C102" s="6" t="str">
        <f t="shared" si="2"/>
        <v>Sunday</v>
      </c>
      <c r="D102" s="6">
        <v>46243.0</v>
      </c>
      <c r="E102" s="7"/>
      <c r="F102" s="7"/>
      <c r="G102" s="16"/>
      <c r="H102" s="14"/>
      <c r="I102" s="10" t="str">
        <f t="shared" si="4"/>
        <v/>
      </c>
      <c r="J102" s="11"/>
      <c r="P102" s="12" t="str">
        <f t="shared" si="3"/>
        <v/>
      </c>
    </row>
    <row r="103" ht="22.5" customHeight="1">
      <c r="A103" s="5">
        <f t="shared" si="1"/>
        <v>33</v>
      </c>
      <c r="B103" s="6" t="str">
        <f>IF(OR(WEEKDAY(D103)=1, WEEKDAY(D103)=7), TEXT(D103, "dddd"), IF(COUNTIF(Reference!$A$13:$A$27, D103) &gt; 0, "Holiday", TEXT(D103, "dddd")))</f>
        <v>Monday</v>
      </c>
      <c r="C103" s="6" t="str">
        <f t="shared" si="2"/>
        <v>Monday</v>
      </c>
      <c r="D103" s="6">
        <v>46244.0</v>
      </c>
      <c r="E103" s="7"/>
      <c r="F103" s="7"/>
      <c r="G103" s="16"/>
      <c r="H103" s="14"/>
      <c r="I103" s="10" t="str">
        <f t="shared" si="4"/>
        <v/>
      </c>
      <c r="J103" s="11"/>
      <c r="P103" s="12" t="str">
        <f t="shared" si="3"/>
        <v/>
      </c>
    </row>
    <row r="104" ht="22.5" customHeight="1">
      <c r="A104" s="5">
        <f t="shared" si="1"/>
        <v>33</v>
      </c>
      <c r="B104" s="6" t="str">
        <f>IF(OR(WEEKDAY(D104)=1, WEEKDAY(D104)=7), TEXT(D104, "dddd"), IF(COUNTIF(Reference!$A$13:$A$27, D104) &gt; 0, "Holiday", TEXT(D104, "dddd")))</f>
        <v>Tuesday</v>
      </c>
      <c r="C104" s="6" t="str">
        <f t="shared" si="2"/>
        <v>Tuesday</v>
      </c>
      <c r="D104" s="6">
        <v>46245.0</v>
      </c>
      <c r="E104" s="7"/>
      <c r="F104" s="7"/>
      <c r="G104" s="16"/>
      <c r="H104" s="14"/>
      <c r="I104" s="10" t="str">
        <f t="shared" si="4"/>
        <v/>
      </c>
      <c r="J104" s="11"/>
      <c r="P104" s="12" t="str">
        <f t="shared" si="3"/>
        <v/>
      </c>
    </row>
    <row r="105" ht="22.5" customHeight="1">
      <c r="A105" s="5">
        <f t="shared" si="1"/>
        <v>33</v>
      </c>
      <c r="B105" s="6" t="str">
        <f>IF(OR(WEEKDAY(D105)=1, WEEKDAY(D105)=7), TEXT(D105, "dddd"), IF(COUNTIF(Reference!$A$13:$A$27, D105) &gt; 0, "Holiday", TEXT(D105, "dddd")))</f>
        <v>Wednesday</v>
      </c>
      <c r="C105" s="6" t="str">
        <f t="shared" si="2"/>
        <v>Wednesday</v>
      </c>
      <c r="D105" s="6">
        <v>46246.0</v>
      </c>
      <c r="E105" s="7"/>
      <c r="F105" s="7"/>
      <c r="G105" s="16"/>
      <c r="H105" s="14"/>
      <c r="I105" s="10" t="str">
        <f t="shared" si="4"/>
        <v/>
      </c>
      <c r="J105" s="11"/>
      <c r="P105" s="12" t="str">
        <f t="shared" si="3"/>
        <v/>
      </c>
    </row>
    <row r="106" ht="22.5" customHeight="1">
      <c r="A106" s="5">
        <f t="shared" si="1"/>
        <v>33</v>
      </c>
      <c r="B106" s="6" t="str">
        <f>IF(OR(WEEKDAY(D106)=1, WEEKDAY(D106)=7), TEXT(D106, "dddd"), IF(COUNTIF(Reference!$A$13:$A$27, D106) &gt; 0, "Holiday", TEXT(D106, "dddd")))</f>
        <v>Thursday</v>
      </c>
      <c r="C106" s="6" t="str">
        <f t="shared" si="2"/>
        <v>Thursday</v>
      </c>
      <c r="D106" s="6">
        <v>46247.0</v>
      </c>
      <c r="E106" s="7"/>
      <c r="F106" s="7"/>
      <c r="G106" s="16"/>
      <c r="H106" s="14"/>
      <c r="I106" s="10" t="str">
        <f t="shared" si="4"/>
        <v/>
      </c>
      <c r="J106" s="11"/>
      <c r="P106" s="12" t="str">
        <f t="shared" si="3"/>
        <v/>
      </c>
    </row>
    <row r="107" ht="22.5" customHeight="1">
      <c r="A107" s="5">
        <f t="shared" si="1"/>
        <v>33</v>
      </c>
      <c r="B107" s="6" t="str">
        <f>IF(OR(WEEKDAY(D107)=1, WEEKDAY(D107)=7), TEXT(D107, "dddd"), IF(COUNTIF(Reference!$A$13:$A$27, D107) &gt; 0, "Holiday", TEXT(D107, "dddd")))</f>
        <v>Friday</v>
      </c>
      <c r="C107" s="6" t="str">
        <f t="shared" si="2"/>
        <v>Friday</v>
      </c>
      <c r="D107" s="6">
        <v>46248.0</v>
      </c>
      <c r="E107" s="7"/>
      <c r="F107" s="7"/>
      <c r="G107" s="16"/>
      <c r="H107" s="14"/>
      <c r="I107" s="10" t="str">
        <f t="shared" si="4"/>
        <v/>
      </c>
      <c r="J107" s="11"/>
      <c r="P107" s="12" t="str">
        <f t="shared" si="3"/>
        <v/>
      </c>
    </row>
    <row r="108" ht="22.5" customHeight="1">
      <c r="A108" s="5">
        <f t="shared" si="1"/>
        <v>33</v>
      </c>
      <c r="B108" s="6" t="str">
        <f>IF(OR(WEEKDAY(D108)=1, WEEKDAY(D108)=7), TEXT(D108, "dddd"), IF(COUNTIF(Reference!$A$13:$A$27, D108) &gt; 0, "Holiday", TEXT(D108, "dddd")))</f>
        <v>Saturday</v>
      </c>
      <c r="C108" s="6" t="str">
        <f t="shared" si="2"/>
        <v>Saturday</v>
      </c>
      <c r="D108" s="6">
        <v>46249.0</v>
      </c>
      <c r="E108" s="7"/>
      <c r="F108" s="7"/>
      <c r="G108" s="16"/>
      <c r="H108" s="14"/>
      <c r="I108" s="10" t="str">
        <f t="shared" si="4"/>
        <v/>
      </c>
      <c r="J108" s="11"/>
      <c r="P108" s="12" t="str">
        <f t="shared" si="3"/>
        <v/>
      </c>
    </row>
    <row r="109" ht="22.5" customHeight="1">
      <c r="A109" s="5">
        <f t="shared" si="1"/>
        <v>33</v>
      </c>
      <c r="B109" s="6" t="str">
        <f>IF(OR(WEEKDAY(D109)=1, WEEKDAY(D109)=7), TEXT(D109, "dddd"), IF(COUNTIF(Reference!$A$13:$A$27, D109) &gt; 0, "Holiday", TEXT(D109, "dddd")))</f>
        <v>Sunday</v>
      </c>
      <c r="C109" s="6" t="str">
        <f t="shared" si="2"/>
        <v>Sunday</v>
      </c>
      <c r="D109" s="6">
        <v>46250.0</v>
      </c>
      <c r="E109" s="7"/>
      <c r="F109" s="7"/>
      <c r="G109" s="16"/>
      <c r="H109" s="14"/>
      <c r="I109" s="10" t="str">
        <f t="shared" si="4"/>
        <v/>
      </c>
      <c r="J109" s="11"/>
      <c r="P109" s="12" t="str">
        <f t="shared" si="3"/>
        <v/>
      </c>
    </row>
    <row r="110" ht="22.5" customHeight="1">
      <c r="A110" s="5">
        <f t="shared" si="1"/>
        <v>34</v>
      </c>
      <c r="B110" s="6" t="str">
        <f>IF(OR(WEEKDAY(D110)=1, WEEKDAY(D110)=7), TEXT(D110, "dddd"), IF(COUNTIF(Reference!$A$13:$A$27, D110) &gt; 0, "Holiday", TEXT(D110, "dddd")))</f>
        <v>Monday</v>
      </c>
      <c r="C110" s="6" t="str">
        <f t="shared" si="2"/>
        <v>Monday</v>
      </c>
      <c r="D110" s="6">
        <v>46251.0</v>
      </c>
      <c r="E110" s="7"/>
      <c r="F110" s="7"/>
      <c r="G110" s="16"/>
      <c r="H110" s="14"/>
      <c r="I110" s="10" t="str">
        <f t="shared" si="4"/>
        <v/>
      </c>
      <c r="J110" s="11"/>
      <c r="P110" s="12" t="str">
        <f t="shared" si="3"/>
        <v/>
      </c>
    </row>
    <row r="111" ht="22.5" customHeight="1">
      <c r="A111" s="5">
        <f t="shared" si="1"/>
        <v>34</v>
      </c>
      <c r="B111" s="6" t="str">
        <f>IF(OR(WEEKDAY(D111)=1, WEEKDAY(D111)=7), TEXT(D111, "dddd"), IF(COUNTIF(Reference!$A$13:$A$27, D111) &gt; 0, "Holiday", TEXT(D111, "dddd")))</f>
        <v>Tuesday</v>
      </c>
      <c r="C111" s="6" t="str">
        <f t="shared" si="2"/>
        <v>Tuesday</v>
      </c>
      <c r="D111" s="6">
        <v>46252.0</v>
      </c>
      <c r="E111" s="7"/>
      <c r="F111" s="7"/>
      <c r="G111" s="16"/>
      <c r="H111" s="14"/>
      <c r="I111" s="10" t="str">
        <f t="shared" si="4"/>
        <v/>
      </c>
      <c r="J111" s="11"/>
      <c r="P111" s="12" t="str">
        <f t="shared" si="3"/>
        <v/>
      </c>
    </row>
    <row r="112" ht="22.5" customHeight="1">
      <c r="A112" s="5">
        <f t="shared" si="1"/>
        <v>34</v>
      </c>
      <c r="B112" s="6" t="str">
        <f>IF(OR(WEEKDAY(D112)=1, WEEKDAY(D112)=7), TEXT(D112, "dddd"), IF(COUNTIF(Reference!$A$13:$A$27, D112) &gt; 0, "Holiday", TEXT(D112, "dddd")))</f>
        <v>Wednesday</v>
      </c>
      <c r="C112" s="6" t="str">
        <f t="shared" si="2"/>
        <v>Wednesday</v>
      </c>
      <c r="D112" s="6">
        <v>46253.0</v>
      </c>
      <c r="E112" s="7"/>
      <c r="F112" s="7"/>
      <c r="G112" s="16"/>
      <c r="H112" s="14"/>
      <c r="I112" s="10" t="str">
        <f t="shared" si="4"/>
        <v/>
      </c>
      <c r="J112" s="11"/>
      <c r="P112" s="12" t="str">
        <f t="shared" si="3"/>
        <v/>
      </c>
    </row>
    <row r="113" ht="22.5" customHeight="1">
      <c r="A113" s="5">
        <f t="shared" si="1"/>
        <v>34</v>
      </c>
      <c r="B113" s="6" t="str">
        <f>IF(OR(WEEKDAY(D113)=1, WEEKDAY(D113)=7), TEXT(D113, "dddd"), IF(COUNTIF(Reference!$A$13:$A$27, D113) &gt; 0, "Holiday", TEXT(D113, "dddd")))</f>
        <v>Thursday</v>
      </c>
      <c r="C113" s="6" t="str">
        <f t="shared" si="2"/>
        <v>Thursday</v>
      </c>
      <c r="D113" s="6">
        <v>46254.0</v>
      </c>
      <c r="E113" s="7"/>
      <c r="F113" s="7"/>
      <c r="G113" s="16"/>
      <c r="H113" s="14"/>
      <c r="I113" s="10" t="str">
        <f t="shared" si="4"/>
        <v/>
      </c>
      <c r="J113" s="11"/>
      <c r="P113" s="12" t="str">
        <f t="shared" si="3"/>
        <v/>
      </c>
    </row>
    <row r="114" ht="22.5" customHeight="1">
      <c r="A114" s="5">
        <f t="shared" si="1"/>
        <v>34</v>
      </c>
      <c r="B114" s="6" t="str">
        <f>IF(OR(WEEKDAY(D114)=1, WEEKDAY(D114)=7), TEXT(D114, "dddd"), IF(COUNTIF(Reference!$A$13:$A$27, D114) &gt; 0, "Holiday", TEXT(D114, "dddd")))</f>
        <v>Friday</v>
      </c>
      <c r="C114" s="6" t="str">
        <f t="shared" si="2"/>
        <v>Friday</v>
      </c>
      <c r="D114" s="6">
        <v>46255.0</v>
      </c>
      <c r="E114" s="7"/>
      <c r="F114" s="7"/>
      <c r="G114" s="16"/>
      <c r="H114" s="14"/>
      <c r="I114" s="10" t="str">
        <f t="shared" si="4"/>
        <v/>
      </c>
      <c r="J114" s="11"/>
      <c r="P114" s="12" t="str">
        <f t="shared" si="3"/>
        <v/>
      </c>
    </row>
    <row r="115" ht="22.5" customHeight="1">
      <c r="A115" s="5">
        <f t="shared" si="1"/>
        <v>34</v>
      </c>
      <c r="B115" s="6" t="str">
        <f>IF(OR(WEEKDAY(D115)=1, WEEKDAY(D115)=7), TEXT(D115, "dddd"), IF(COUNTIF(Reference!$A$13:$A$27, D115) &gt; 0, "Holiday", TEXT(D115, "dddd")))</f>
        <v>Saturday</v>
      </c>
      <c r="C115" s="6" t="str">
        <f t="shared" si="2"/>
        <v>Saturday</v>
      </c>
      <c r="D115" s="6">
        <v>46256.0</v>
      </c>
      <c r="E115" s="7"/>
      <c r="F115" s="7"/>
      <c r="G115" s="16"/>
      <c r="H115" s="14"/>
      <c r="I115" s="10" t="str">
        <f t="shared" si="4"/>
        <v/>
      </c>
      <c r="J115" s="11"/>
      <c r="P115" s="12" t="str">
        <f t="shared" si="3"/>
        <v/>
      </c>
    </row>
    <row r="116" ht="22.5" customHeight="1">
      <c r="A116" s="5">
        <f t="shared" si="1"/>
        <v>34</v>
      </c>
      <c r="B116" s="6" t="str">
        <f>IF(OR(WEEKDAY(D116)=1, WEEKDAY(D116)=7), TEXT(D116, "dddd"), IF(COUNTIF(Reference!$A$13:$A$27, D116) &gt; 0, "Holiday", TEXT(D116, "dddd")))</f>
        <v>Sunday</v>
      </c>
      <c r="C116" s="6" t="str">
        <f t="shared" si="2"/>
        <v>Sunday</v>
      </c>
      <c r="D116" s="6">
        <v>46257.0</v>
      </c>
      <c r="E116" s="7"/>
      <c r="F116" s="7"/>
      <c r="G116" s="16"/>
      <c r="H116" s="14"/>
      <c r="I116" s="10" t="str">
        <f t="shared" si="4"/>
        <v/>
      </c>
      <c r="J116" s="11"/>
      <c r="P116" s="12" t="str">
        <f t="shared" si="3"/>
        <v/>
      </c>
    </row>
    <row r="117" ht="22.5" customHeight="1">
      <c r="A117" s="5">
        <f t="shared" si="1"/>
        <v>35</v>
      </c>
      <c r="B117" s="6" t="str">
        <f>IF(OR(WEEKDAY(D117)=1, WEEKDAY(D117)=7), TEXT(D117, "dddd"), IF(COUNTIF(Reference!$A$13:$A$27, D117) &gt; 0, "Holiday", TEXT(D117, "dddd")))</f>
        <v>Monday</v>
      </c>
      <c r="C117" s="6" t="str">
        <f t="shared" si="2"/>
        <v>Monday</v>
      </c>
      <c r="D117" s="6">
        <v>46258.0</v>
      </c>
      <c r="E117" s="7"/>
      <c r="F117" s="7"/>
      <c r="G117" s="16"/>
      <c r="H117" s="14"/>
      <c r="I117" s="10" t="str">
        <f t="shared" si="4"/>
        <v/>
      </c>
      <c r="J117" s="11"/>
      <c r="P117" s="12" t="str">
        <f t="shared" si="3"/>
        <v/>
      </c>
    </row>
    <row r="118" ht="22.5" customHeight="1">
      <c r="A118" s="5">
        <f t="shared" si="1"/>
        <v>35</v>
      </c>
      <c r="B118" s="6" t="str">
        <f>IF(OR(WEEKDAY(D118)=1, WEEKDAY(D118)=7), TEXT(D118, "dddd"), IF(COUNTIF(Reference!$A$13:$A$27, D118) &gt; 0, "Holiday", TEXT(D118, "dddd")))</f>
        <v>Tuesday</v>
      </c>
      <c r="C118" s="6" t="str">
        <f t="shared" si="2"/>
        <v>Tuesday</v>
      </c>
      <c r="D118" s="6">
        <v>46259.0</v>
      </c>
      <c r="E118" s="7"/>
      <c r="F118" s="7"/>
      <c r="G118" s="16"/>
      <c r="H118" s="14"/>
      <c r="I118" s="10" t="str">
        <f t="shared" si="4"/>
        <v/>
      </c>
      <c r="J118" s="11"/>
      <c r="P118" s="12" t="str">
        <f t="shared" si="3"/>
        <v/>
      </c>
    </row>
    <row r="119" ht="22.5" customHeight="1">
      <c r="A119" s="5">
        <f t="shared" si="1"/>
        <v>35</v>
      </c>
      <c r="B119" s="6" t="str">
        <f>IF(OR(WEEKDAY(D119)=1, WEEKDAY(D119)=7), TEXT(D119, "dddd"), IF(COUNTIF(Reference!$A$13:$A$27, D119) &gt; 0, "Holiday", TEXT(D119, "dddd")))</f>
        <v>Wednesday</v>
      </c>
      <c r="C119" s="6" t="str">
        <f t="shared" si="2"/>
        <v>Wednesday</v>
      </c>
      <c r="D119" s="6">
        <v>46260.0</v>
      </c>
      <c r="E119" s="7"/>
      <c r="F119" s="7"/>
      <c r="G119" s="16"/>
      <c r="H119" s="14"/>
      <c r="I119" s="10" t="str">
        <f t="shared" si="4"/>
        <v/>
      </c>
      <c r="J119" s="11"/>
      <c r="P119" s="12" t="str">
        <f t="shared" si="3"/>
        <v/>
      </c>
    </row>
    <row r="120" ht="22.5" customHeight="1">
      <c r="A120" s="5">
        <f t="shared" si="1"/>
        <v>35</v>
      </c>
      <c r="B120" s="6" t="str">
        <f>IF(OR(WEEKDAY(D120)=1, WEEKDAY(D120)=7), TEXT(D120, "dddd"), IF(COUNTIF(Reference!$A$13:$A$27, D120) &gt; 0, "Holiday", TEXT(D120, "dddd")))</f>
        <v>Thursday</v>
      </c>
      <c r="C120" s="6" t="str">
        <f t="shared" si="2"/>
        <v>Thursday</v>
      </c>
      <c r="D120" s="6">
        <v>46261.0</v>
      </c>
      <c r="E120" s="7"/>
      <c r="F120" s="7"/>
      <c r="G120" s="16"/>
      <c r="H120" s="14"/>
      <c r="I120" s="10" t="str">
        <f t="shared" si="4"/>
        <v/>
      </c>
      <c r="J120" s="11"/>
      <c r="P120" s="12" t="str">
        <f t="shared" si="3"/>
        <v/>
      </c>
    </row>
    <row r="121" ht="22.5" customHeight="1">
      <c r="A121" s="5">
        <f t="shared" si="1"/>
        <v>35</v>
      </c>
      <c r="B121" s="6" t="str">
        <f>IF(OR(WEEKDAY(D121)=1, WEEKDAY(D121)=7), TEXT(D121, "dddd"), IF(COUNTIF(Reference!$A$13:$A$27, D121) &gt; 0, "Holiday", TEXT(D121, "dddd")))</f>
        <v>Friday</v>
      </c>
      <c r="C121" s="6" t="str">
        <f t="shared" si="2"/>
        <v>Friday</v>
      </c>
      <c r="D121" s="6">
        <v>46262.0</v>
      </c>
      <c r="E121" s="7"/>
      <c r="F121" s="7"/>
      <c r="G121" s="16"/>
      <c r="H121" s="14"/>
      <c r="I121" s="10" t="str">
        <f t="shared" si="4"/>
        <v/>
      </c>
      <c r="J121" s="11"/>
      <c r="P121" s="12" t="str">
        <f t="shared" si="3"/>
        <v/>
      </c>
    </row>
    <row r="122" ht="22.5" customHeight="1">
      <c r="A122" s="5">
        <f t="shared" si="1"/>
        <v>35</v>
      </c>
      <c r="B122" s="6" t="str">
        <f>IF(OR(WEEKDAY(D122)=1, WEEKDAY(D122)=7), TEXT(D122, "dddd"), IF(COUNTIF(Reference!$A$13:$A$27, D122) &gt; 0, "Holiday", TEXT(D122, "dddd")))</f>
        <v>Saturday</v>
      </c>
      <c r="C122" s="6" t="str">
        <f t="shared" si="2"/>
        <v>Saturday</v>
      </c>
      <c r="D122" s="6">
        <v>46263.0</v>
      </c>
      <c r="E122" s="7"/>
      <c r="F122" s="7"/>
      <c r="G122" s="16"/>
      <c r="H122" s="14"/>
      <c r="I122" s="10" t="str">
        <f t="shared" si="4"/>
        <v/>
      </c>
      <c r="J122" s="11"/>
      <c r="P122" s="12" t="str">
        <f t="shared" si="3"/>
        <v/>
      </c>
    </row>
    <row r="123" ht="22.5" customHeight="1">
      <c r="A123" s="5">
        <f t="shared" si="1"/>
        <v>35</v>
      </c>
      <c r="B123" s="6" t="str">
        <f>IF(OR(WEEKDAY(D123)=1, WEEKDAY(D123)=7), TEXT(D123, "dddd"), IF(COUNTIF(Reference!$A$13:$A$27, D123) &gt; 0, "Holiday", TEXT(D123, "dddd")))</f>
        <v>Sunday</v>
      </c>
      <c r="C123" s="6" t="str">
        <f t="shared" si="2"/>
        <v>Sunday</v>
      </c>
      <c r="D123" s="6">
        <v>46264.0</v>
      </c>
      <c r="E123" s="7"/>
      <c r="F123" s="7"/>
      <c r="G123" s="16"/>
      <c r="H123" s="14"/>
      <c r="I123" s="10" t="str">
        <f t="shared" si="4"/>
        <v/>
      </c>
      <c r="J123" s="11"/>
      <c r="P123" s="12" t="str">
        <f t="shared" si="3"/>
        <v/>
      </c>
    </row>
    <row r="124" ht="22.5" customHeight="1">
      <c r="A124" s="5">
        <f t="shared" si="1"/>
        <v>36</v>
      </c>
      <c r="B124" s="6" t="str">
        <f>IF(OR(WEEKDAY(D124)=1, WEEKDAY(D124)=7), TEXT(D124, "dddd"), IF(COUNTIF(Reference!$A$13:$A$27, D124) &gt; 0, "Holiday", TEXT(D124, "dddd")))</f>
        <v>Monday</v>
      </c>
      <c r="C124" s="6" t="str">
        <f t="shared" si="2"/>
        <v>Monday</v>
      </c>
      <c r="D124" s="6">
        <v>46265.0</v>
      </c>
      <c r="E124" s="7"/>
      <c r="F124" s="7"/>
      <c r="G124" s="16"/>
      <c r="H124" s="14"/>
      <c r="I124" s="10" t="str">
        <f t="shared" si="4"/>
        <v/>
      </c>
      <c r="J124" s="11"/>
      <c r="P124" s="12" t="str">
        <f t="shared" si="3"/>
        <v/>
      </c>
    </row>
    <row r="125" ht="22.5" customHeight="1">
      <c r="A125" s="5">
        <f t="shared" si="1"/>
        <v>36</v>
      </c>
      <c r="B125" s="6" t="str">
        <f>IF(OR(WEEKDAY(D125)=1, WEEKDAY(D125)=7), TEXT(D125, "dddd"), IF(COUNTIF(Reference!$A$13:$A$27, D125) &gt; 0, "Holiday", TEXT(D125, "dddd")))</f>
        <v>Tuesday</v>
      </c>
      <c r="C125" s="6" t="str">
        <f t="shared" si="2"/>
        <v>Tuesday</v>
      </c>
      <c r="D125" s="6">
        <v>46266.0</v>
      </c>
      <c r="E125" s="7"/>
      <c r="F125" s="7"/>
      <c r="G125" s="16"/>
      <c r="H125" s="14"/>
      <c r="I125" s="10" t="str">
        <f t="shared" si="4"/>
        <v/>
      </c>
      <c r="J125" s="11"/>
      <c r="P125" s="12" t="str">
        <f t="shared" si="3"/>
        <v/>
      </c>
    </row>
    <row r="126" ht="22.5" customHeight="1">
      <c r="A126" s="5">
        <f t="shared" si="1"/>
        <v>36</v>
      </c>
      <c r="B126" s="6" t="str">
        <f>IF(OR(WEEKDAY(D126)=1, WEEKDAY(D126)=7), TEXT(D126, "dddd"), IF(COUNTIF(Reference!$A$13:$A$27, D126) &gt; 0, "Holiday", TEXT(D126, "dddd")))</f>
        <v>Wednesday</v>
      </c>
      <c r="C126" s="6" t="str">
        <f t="shared" si="2"/>
        <v>Wednesday</v>
      </c>
      <c r="D126" s="6">
        <v>46267.0</v>
      </c>
      <c r="E126" s="7"/>
      <c r="F126" s="7"/>
      <c r="G126" s="16"/>
      <c r="H126" s="14"/>
      <c r="I126" s="10" t="str">
        <f t="shared" si="4"/>
        <v/>
      </c>
      <c r="J126" s="11"/>
      <c r="P126" s="12" t="str">
        <f t="shared" si="3"/>
        <v/>
      </c>
    </row>
    <row r="127" ht="22.5" customHeight="1">
      <c r="A127" s="5">
        <f t="shared" si="1"/>
        <v>36</v>
      </c>
      <c r="B127" s="6" t="str">
        <f>IF(OR(WEEKDAY(D127)=1, WEEKDAY(D127)=7), TEXT(D127, "dddd"), IF(COUNTIF(Reference!$A$13:$A$27, D127) &gt; 0, "Holiday", TEXT(D127, "dddd")))</f>
        <v>Thursday</v>
      </c>
      <c r="C127" s="6" t="str">
        <f t="shared" si="2"/>
        <v>Thursday</v>
      </c>
      <c r="D127" s="6">
        <v>46268.0</v>
      </c>
      <c r="E127" s="7"/>
      <c r="F127" s="7"/>
      <c r="G127" s="16"/>
      <c r="H127" s="14"/>
      <c r="I127" s="10" t="str">
        <f t="shared" si="4"/>
        <v/>
      </c>
      <c r="J127" s="11"/>
      <c r="P127" s="12" t="str">
        <f t="shared" si="3"/>
        <v/>
      </c>
    </row>
    <row r="128" ht="22.5" customHeight="1">
      <c r="A128" s="5">
        <f t="shared" si="1"/>
        <v>36</v>
      </c>
      <c r="B128" s="6" t="str">
        <f>IF(OR(WEEKDAY(D128)=1, WEEKDAY(D128)=7), TEXT(D128, "dddd"), IF(COUNTIF(Reference!$A$13:$A$27, D128) &gt; 0, "Holiday", TEXT(D128, "dddd")))</f>
        <v>Friday</v>
      </c>
      <c r="C128" s="6" t="str">
        <f t="shared" si="2"/>
        <v>Friday</v>
      </c>
      <c r="D128" s="6">
        <v>46269.0</v>
      </c>
      <c r="E128" s="7"/>
      <c r="F128" s="7"/>
      <c r="G128" s="16"/>
      <c r="H128" s="14"/>
      <c r="I128" s="10" t="str">
        <f t="shared" si="4"/>
        <v/>
      </c>
      <c r="J128" s="11"/>
      <c r="P128" s="12" t="str">
        <f t="shared" si="3"/>
        <v/>
      </c>
    </row>
    <row r="129" ht="22.5" customHeight="1">
      <c r="A129" s="5">
        <f t="shared" si="1"/>
        <v>36</v>
      </c>
      <c r="B129" s="6" t="str">
        <f>IF(OR(WEEKDAY(D129)=1, WEEKDAY(D129)=7), TEXT(D129, "dddd"), IF(COUNTIF(Reference!$A$13:$A$27, D129) &gt; 0, "Holiday", TEXT(D129, "dddd")))</f>
        <v>Saturday</v>
      </c>
      <c r="C129" s="6" t="str">
        <f t="shared" si="2"/>
        <v>Saturday</v>
      </c>
      <c r="D129" s="6">
        <v>46270.0</v>
      </c>
      <c r="E129" s="7"/>
      <c r="F129" s="7"/>
      <c r="G129" s="16"/>
      <c r="H129" s="14"/>
      <c r="I129" s="10" t="str">
        <f t="shared" si="4"/>
        <v/>
      </c>
      <c r="J129" s="11"/>
      <c r="P129" s="12" t="str">
        <f t="shared" si="3"/>
        <v/>
      </c>
    </row>
    <row r="130" ht="22.5" customHeight="1">
      <c r="A130" s="5">
        <f t="shared" si="1"/>
        <v>36</v>
      </c>
      <c r="B130" s="6" t="str">
        <f>IF(OR(WEEKDAY(D130)=1, WEEKDAY(D130)=7), TEXT(D130, "dddd"), IF(COUNTIF(Reference!$A$13:$A$27, D130) &gt; 0, "Holiday", TEXT(D130, "dddd")))</f>
        <v>Sunday</v>
      </c>
      <c r="C130" s="6" t="str">
        <f t="shared" si="2"/>
        <v>Sunday</v>
      </c>
      <c r="D130" s="6">
        <v>46271.0</v>
      </c>
      <c r="E130" s="7"/>
      <c r="F130" s="7"/>
      <c r="G130" s="16"/>
      <c r="H130" s="14"/>
      <c r="I130" s="10" t="str">
        <f t="shared" si="4"/>
        <v/>
      </c>
      <c r="J130" s="11"/>
      <c r="P130" s="12" t="str">
        <f t="shared" si="3"/>
        <v/>
      </c>
    </row>
    <row r="131" ht="22.5" customHeight="1">
      <c r="A131" s="5">
        <f t="shared" si="1"/>
        <v>37</v>
      </c>
      <c r="B131" s="6" t="str">
        <f>IF(OR(WEEKDAY(D131)=1, WEEKDAY(D131)=7), TEXT(D131, "dddd"), IF(COUNTIF(Reference!$A$13:$A$27, D131) &gt; 0, "Holiday", TEXT(D131, "dddd")))</f>
        <v>Monday</v>
      </c>
      <c r="C131" s="6" t="str">
        <f t="shared" si="2"/>
        <v>Monday</v>
      </c>
      <c r="D131" s="6">
        <v>46272.0</v>
      </c>
      <c r="E131" s="7"/>
      <c r="F131" s="7"/>
      <c r="G131" s="16"/>
      <c r="H131" s="14"/>
      <c r="I131" s="10" t="str">
        <f t="shared" si="4"/>
        <v/>
      </c>
      <c r="J131" s="11"/>
      <c r="P131" s="12" t="str">
        <f t="shared" si="3"/>
        <v/>
      </c>
    </row>
    <row r="132" ht="22.5" customHeight="1">
      <c r="A132" s="5">
        <f t="shared" si="1"/>
        <v>37</v>
      </c>
      <c r="B132" s="6" t="str">
        <f>IF(OR(WEEKDAY(D132)=1, WEEKDAY(D132)=7), TEXT(D132, "dddd"), IF(COUNTIF(Reference!$A$13:$A$27, D132) &gt; 0, "Holiday", TEXT(D132, "dddd")))</f>
        <v>Tuesday</v>
      </c>
      <c r="C132" s="6" t="str">
        <f t="shared" si="2"/>
        <v>Tuesday</v>
      </c>
      <c r="D132" s="6">
        <v>46273.0</v>
      </c>
      <c r="E132" s="7"/>
      <c r="F132" s="7"/>
      <c r="G132" s="16"/>
      <c r="H132" s="14"/>
      <c r="I132" s="10" t="str">
        <f t="shared" si="4"/>
        <v/>
      </c>
      <c r="J132" s="11"/>
      <c r="P132" s="12" t="str">
        <f t="shared" si="3"/>
        <v/>
      </c>
    </row>
    <row r="133" ht="22.5" customHeight="1">
      <c r="A133" s="5">
        <f t="shared" si="1"/>
        <v>37</v>
      </c>
      <c r="B133" s="6" t="str">
        <f>IF(OR(WEEKDAY(D133)=1, WEEKDAY(D133)=7), TEXT(D133, "dddd"), IF(COUNTIF(Reference!$A$13:$A$27, D133) &gt; 0, "Holiday", TEXT(D133, "dddd")))</f>
        <v>Wednesday</v>
      </c>
      <c r="C133" s="6" t="str">
        <f t="shared" si="2"/>
        <v>Wednesday</v>
      </c>
      <c r="D133" s="6">
        <v>46274.0</v>
      </c>
      <c r="E133" s="7"/>
      <c r="F133" s="7"/>
      <c r="G133" s="16"/>
      <c r="H133" s="14"/>
      <c r="I133" s="10" t="str">
        <f t="shared" si="4"/>
        <v/>
      </c>
      <c r="J133" s="11"/>
      <c r="P133" s="12" t="str">
        <f t="shared" si="3"/>
        <v/>
      </c>
    </row>
    <row r="134" ht="22.5" customHeight="1">
      <c r="A134" s="5">
        <f t="shared" si="1"/>
        <v>37</v>
      </c>
      <c r="B134" s="6" t="str">
        <f>IF(OR(WEEKDAY(D134)=1, WEEKDAY(D134)=7), TEXT(D134, "dddd"), IF(COUNTIF(Reference!$A$13:$A$27, D134) &gt; 0, "Holiday", TEXT(D134, "dddd")))</f>
        <v>Thursday</v>
      </c>
      <c r="C134" s="6" t="str">
        <f t="shared" si="2"/>
        <v>Thursday</v>
      </c>
      <c r="D134" s="6">
        <v>46275.0</v>
      </c>
      <c r="E134" s="7"/>
      <c r="F134" s="7"/>
      <c r="G134" s="16"/>
      <c r="H134" s="14"/>
      <c r="I134" s="10" t="str">
        <f t="shared" si="4"/>
        <v/>
      </c>
      <c r="J134" s="11"/>
      <c r="P134" s="12" t="str">
        <f t="shared" si="3"/>
        <v/>
      </c>
    </row>
    <row r="135" ht="22.5" customHeight="1">
      <c r="A135" s="5">
        <f t="shared" si="1"/>
        <v>37</v>
      </c>
      <c r="B135" s="6" t="str">
        <f>IF(OR(WEEKDAY(D135)=1, WEEKDAY(D135)=7), TEXT(D135, "dddd"), IF(COUNTIF(Reference!$A$13:$A$27, D135) &gt; 0, "Holiday", TEXT(D135, "dddd")))</f>
        <v>Friday</v>
      </c>
      <c r="C135" s="6" t="str">
        <f t="shared" si="2"/>
        <v>Friday</v>
      </c>
      <c r="D135" s="6">
        <v>46276.0</v>
      </c>
      <c r="E135" s="7"/>
      <c r="F135" s="7"/>
      <c r="G135" s="16"/>
      <c r="H135" s="14"/>
      <c r="I135" s="10" t="str">
        <f t="shared" si="4"/>
        <v/>
      </c>
      <c r="J135" s="11"/>
      <c r="P135" s="12" t="str">
        <f t="shared" si="3"/>
        <v/>
      </c>
    </row>
    <row r="136" ht="22.5" customHeight="1">
      <c r="A136" s="5">
        <f t="shared" si="1"/>
        <v>37</v>
      </c>
      <c r="B136" s="6" t="str">
        <f>IF(OR(WEEKDAY(D136)=1, WEEKDAY(D136)=7), TEXT(D136, "dddd"), IF(COUNTIF(Reference!$A$13:$A$27, D136) &gt; 0, "Holiday", TEXT(D136, "dddd")))</f>
        <v>Saturday</v>
      </c>
      <c r="C136" s="6" t="str">
        <f t="shared" si="2"/>
        <v>Saturday</v>
      </c>
      <c r="D136" s="6">
        <v>46277.0</v>
      </c>
      <c r="E136" s="7"/>
      <c r="F136" s="7"/>
      <c r="G136" s="16"/>
      <c r="H136" s="14"/>
      <c r="I136" s="10" t="str">
        <f t="shared" si="4"/>
        <v/>
      </c>
      <c r="J136" s="11"/>
      <c r="P136" s="12" t="str">
        <f t="shared" si="3"/>
        <v/>
      </c>
    </row>
    <row r="137" ht="22.5" customHeight="1">
      <c r="A137" s="5">
        <f t="shared" si="1"/>
        <v>37</v>
      </c>
      <c r="B137" s="6" t="str">
        <f>IF(OR(WEEKDAY(D137)=1, WEEKDAY(D137)=7), TEXT(D137, "dddd"), IF(COUNTIF(Reference!$A$13:$A$27, D137) &gt; 0, "Holiday", TEXT(D137, "dddd")))</f>
        <v>Sunday</v>
      </c>
      <c r="C137" s="6" t="str">
        <f t="shared" si="2"/>
        <v>Sunday</v>
      </c>
      <c r="D137" s="6">
        <v>46278.0</v>
      </c>
      <c r="E137" s="7"/>
      <c r="F137" s="7"/>
      <c r="G137" s="16"/>
      <c r="H137" s="14"/>
      <c r="I137" s="10" t="str">
        <f t="shared" si="4"/>
        <v/>
      </c>
      <c r="J137" s="11"/>
      <c r="P137" s="12" t="str">
        <f t="shared" si="3"/>
        <v/>
      </c>
    </row>
    <row r="138" ht="22.5" customHeight="1">
      <c r="A138" s="5">
        <f t="shared" si="1"/>
        <v>38</v>
      </c>
      <c r="B138" s="6" t="str">
        <f>IF(OR(WEEKDAY(D138)=1, WEEKDAY(D138)=7), TEXT(D138, "dddd"), IF(COUNTIF(Reference!$A$13:$A$27, D138) &gt; 0, "Holiday", TEXT(D138, "dddd")))</f>
        <v>Monday</v>
      </c>
      <c r="C138" s="6" t="str">
        <f t="shared" si="2"/>
        <v>Monday</v>
      </c>
      <c r="D138" s="6">
        <v>46279.0</v>
      </c>
      <c r="E138" s="7"/>
      <c r="F138" s="7"/>
      <c r="G138" s="16"/>
      <c r="H138" s="14"/>
      <c r="I138" s="10" t="str">
        <f t="shared" si="4"/>
        <v/>
      </c>
      <c r="J138" s="11"/>
      <c r="P138" s="12" t="str">
        <f t="shared" si="3"/>
        <v/>
      </c>
    </row>
    <row r="139" ht="22.5" customHeight="1">
      <c r="A139" s="5">
        <f t="shared" si="1"/>
        <v>38</v>
      </c>
      <c r="B139" s="6" t="str">
        <f>IF(OR(WEEKDAY(D139)=1, WEEKDAY(D139)=7), TEXT(D139, "dddd"), IF(COUNTIF(Reference!$A$13:$A$27, D139) &gt; 0, "Holiday", TEXT(D139, "dddd")))</f>
        <v>Tuesday</v>
      </c>
      <c r="C139" s="6" t="str">
        <f t="shared" si="2"/>
        <v>Tuesday</v>
      </c>
      <c r="D139" s="6">
        <v>46280.0</v>
      </c>
      <c r="E139" s="7"/>
      <c r="F139" s="7"/>
      <c r="G139" s="16"/>
      <c r="H139" s="14"/>
      <c r="I139" s="10" t="str">
        <f t="shared" si="4"/>
        <v/>
      </c>
      <c r="J139" s="11"/>
      <c r="P139" s="12" t="str">
        <f t="shared" si="3"/>
        <v/>
      </c>
    </row>
    <row r="140" ht="22.5" customHeight="1">
      <c r="A140" s="5">
        <f t="shared" si="1"/>
        <v>38</v>
      </c>
      <c r="B140" s="6" t="str">
        <f>IF(OR(WEEKDAY(D140)=1, WEEKDAY(D140)=7), TEXT(D140, "dddd"), IF(COUNTIF(Reference!$A$13:$A$27, D140) &gt; 0, "Holiday", TEXT(D140, "dddd")))</f>
        <v>Wednesday</v>
      </c>
      <c r="C140" s="6" t="str">
        <f t="shared" si="2"/>
        <v>Wednesday</v>
      </c>
      <c r="D140" s="6">
        <v>46281.0</v>
      </c>
      <c r="E140" s="7"/>
      <c r="F140" s="7"/>
      <c r="G140" s="16"/>
      <c r="H140" s="14"/>
      <c r="I140" s="10" t="str">
        <f t="shared" si="4"/>
        <v/>
      </c>
      <c r="J140" s="11"/>
      <c r="P140" s="12" t="str">
        <f t="shared" si="3"/>
        <v/>
      </c>
    </row>
    <row r="141" ht="22.5" customHeight="1">
      <c r="A141" s="5">
        <f t="shared" si="1"/>
        <v>38</v>
      </c>
      <c r="B141" s="6" t="str">
        <f>IF(OR(WEEKDAY(D141)=1, WEEKDAY(D141)=7), TEXT(D141, "dddd"), IF(COUNTIF(Reference!$A$13:$A$27, D141) &gt; 0, "Holiday", TEXT(D141, "dddd")))</f>
        <v>Thursday</v>
      </c>
      <c r="C141" s="6" t="str">
        <f t="shared" si="2"/>
        <v>Thursday</v>
      </c>
      <c r="D141" s="6">
        <v>46282.0</v>
      </c>
      <c r="E141" s="7"/>
      <c r="F141" s="7"/>
      <c r="G141" s="16"/>
      <c r="H141" s="14"/>
      <c r="I141" s="10" t="str">
        <f t="shared" si="4"/>
        <v/>
      </c>
      <c r="J141" s="11"/>
      <c r="P141" s="12" t="str">
        <f t="shared" si="3"/>
        <v/>
      </c>
    </row>
    <row r="142" ht="22.5" customHeight="1">
      <c r="A142" s="5">
        <f t="shared" si="1"/>
        <v>38</v>
      </c>
      <c r="B142" s="6" t="str">
        <f>IF(OR(WEEKDAY(D142)=1, WEEKDAY(D142)=7), TEXT(D142, "dddd"), IF(COUNTIF(Reference!$A$13:$A$27, D142) &gt; 0, "Holiday", TEXT(D142, "dddd")))</f>
        <v>Friday</v>
      </c>
      <c r="C142" s="6" t="str">
        <f t="shared" si="2"/>
        <v>Friday</v>
      </c>
      <c r="D142" s="6">
        <v>46283.0</v>
      </c>
      <c r="E142" s="7"/>
      <c r="F142" s="7"/>
      <c r="G142" s="16"/>
      <c r="H142" s="14"/>
      <c r="I142" s="10" t="str">
        <f t="shared" si="4"/>
        <v/>
      </c>
      <c r="J142" s="11"/>
      <c r="P142" s="12" t="str">
        <f t="shared" si="3"/>
        <v/>
      </c>
    </row>
    <row r="143" ht="22.5" customHeight="1">
      <c r="A143" s="5">
        <f t="shared" si="1"/>
        <v>38</v>
      </c>
      <c r="B143" s="6" t="str">
        <f>IF(OR(WEEKDAY(D143)=1, WEEKDAY(D143)=7), TEXT(D143, "dddd"), IF(COUNTIF(Reference!$A$13:$A$27, D143) &gt; 0, "Holiday", TEXT(D143, "dddd")))</f>
        <v>Saturday</v>
      </c>
      <c r="C143" s="6" t="str">
        <f t="shared" si="2"/>
        <v>Saturday</v>
      </c>
      <c r="D143" s="6">
        <v>46284.0</v>
      </c>
      <c r="E143" s="7"/>
      <c r="F143" s="7"/>
      <c r="G143" s="16"/>
      <c r="H143" s="14"/>
      <c r="I143" s="10" t="str">
        <f t="shared" si="4"/>
        <v/>
      </c>
      <c r="J143" s="11"/>
      <c r="P143" s="12" t="str">
        <f t="shared" si="3"/>
        <v/>
      </c>
    </row>
    <row r="144" ht="22.5" customHeight="1">
      <c r="A144" s="5">
        <f t="shared" si="1"/>
        <v>38</v>
      </c>
      <c r="B144" s="6" t="str">
        <f>IF(OR(WEEKDAY(D144)=1, WEEKDAY(D144)=7), TEXT(D144, "dddd"), IF(COUNTIF(Reference!$A$13:$A$27, D144) &gt; 0, "Holiday", TEXT(D144, "dddd")))</f>
        <v>Sunday</v>
      </c>
      <c r="C144" s="6" t="str">
        <f t="shared" si="2"/>
        <v>Sunday</v>
      </c>
      <c r="D144" s="6">
        <v>46285.0</v>
      </c>
      <c r="E144" s="7"/>
      <c r="F144" s="7"/>
      <c r="G144" s="16"/>
      <c r="H144" s="14"/>
      <c r="I144" s="10" t="str">
        <f t="shared" si="4"/>
        <v/>
      </c>
      <c r="J144" s="11"/>
      <c r="P144" s="12" t="str">
        <f t="shared" si="3"/>
        <v/>
      </c>
    </row>
    <row r="145" ht="22.5" customHeight="1">
      <c r="A145" s="5">
        <f t="shared" si="1"/>
        <v>39</v>
      </c>
      <c r="B145" s="6" t="str">
        <f>IF(OR(WEEKDAY(D145)=1, WEEKDAY(D145)=7), TEXT(D145, "dddd"), IF(COUNTIF(Reference!$A$13:$A$27, D145) &gt; 0, "Holiday", TEXT(D145, "dddd")))</f>
        <v>Monday</v>
      </c>
      <c r="C145" s="6" t="str">
        <f t="shared" si="2"/>
        <v>Monday</v>
      </c>
      <c r="D145" s="6">
        <v>46286.0</v>
      </c>
      <c r="E145" s="7"/>
      <c r="F145" s="7"/>
      <c r="G145" s="16"/>
      <c r="H145" s="14"/>
      <c r="I145" s="10" t="str">
        <f t="shared" si="4"/>
        <v/>
      </c>
      <c r="J145" s="11"/>
      <c r="P145" s="12" t="str">
        <f t="shared" si="3"/>
        <v/>
      </c>
    </row>
    <row r="146" ht="22.5" customHeight="1">
      <c r="A146" s="5">
        <f t="shared" si="1"/>
        <v>39</v>
      </c>
      <c r="B146" s="6" t="str">
        <f>IF(OR(WEEKDAY(D146)=1, WEEKDAY(D146)=7), TEXT(D146, "dddd"), IF(COUNTIF(Reference!$A$13:$A$27, D146) &gt; 0, "Holiday", TEXT(D146, "dddd")))</f>
        <v>Tuesday</v>
      </c>
      <c r="C146" s="6" t="str">
        <f t="shared" si="2"/>
        <v>Tuesday</v>
      </c>
      <c r="D146" s="6">
        <v>46287.0</v>
      </c>
      <c r="E146" s="7"/>
      <c r="F146" s="7"/>
      <c r="G146" s="16"/>
      <c r="H146" s="14"/>
      <c r="I146" s="10" t="str">
        <f t="shared" si="4"/>
        <v/>
      </c>
      <c r="J146" s="11"/>
      <c r="P146" s="12" t="str">
        <f t="shared" si="3"/>
        <v/>
      </c>
    </row>
    <row r="147" ht="22.5" customHeight="1">
      <c r="A147" s="5">
        <f t="shared" si="1"/>
        <v>39</v>
      </c>
      <c r="B147" s="6" t="str">
        <f>IF(OR(WEEKDAY(D147)=1, WEEKDAY(D147)=7), TEXT(D147, "dddd"), IF(COUNTIF(Reference!$A$13:$A$27, D147) &gt; 0, "Holiday", TEXT(D147, "dddd")))</f>
        <v>Wednesday</v>
      </c>
      <c r="C147" s="6" t="str">
        <f t="shared" si="2"/>
        <v>Wednesday</v>
      </c>
      <c r="D147" s="6">
        <v>46288.0</v>
      </c>
      <c r="E147" s="7"/>
      <c r="F147" s="7"/>
      <c r="G147" s="16"/>
      <c r="H147" s="14"/>
      <c r="I147" s="10" t="str">
        <f t="shared" si="4"/>
        <v/>
      </c>
      <c r="J147" s="11"/>
      <c r="P147" s="12" t="str">
        <f t="shared" si="3"/>
        <v/>
      </c>
    </row>
    <row r="148" ht="22.5" customHeight="1">
      <c r="A148" s="5">
        <f t="shared" si="1"/>
        <v>39</v>
      </c>
      <c r="B148" s="6" t="str">
        <f>IF(OR(WEEKDAY(D148)=1, WEEKDAY(D148)=7), TEXT(D148, "dddd"), IF(COUNTIF(Reference!$A$13:$A$27, D148) &gt; 0, "Holiday", TEXT(D148, "dddd")))</f>
        <v>Thursday</v>
      </c>
      <c r="C148" s="6" t="str">
        <f t="shared" si="2"/>
        <v>Thursday</v>
      </c>
      <c r="D148" s="6">
        <v>46289.0</v>
      </c>
      <c r="E148" s="7"/>
      <c r="F148" s="7"/>
      <c r="G148" s="16"/>
      <c r="H148" s="14"/>
      <c r="I148" s="10" t="str">
        <f t="shared" si="4"/>
        <v/>
      </c>
      <c r="J148" s="11"/>
      <c r="P148" s="12" t="str">
        <f t="shared" si="3"/>
        <v/>
      </c>
    </row>
    <row r="149" ht="22.5" customHeight="1">
      <c r="A149" s="5">
        <f t="shared" si="1"/>
        <v>39</v>
      </c>
      <c r="B149" s="6" t="str">
        <f>IF(OR(WEEKDAY(D149)=1, WEEKDAY(D149)=7), TEXT(D149, "dddd"), IF(COUNTIF(Reference!$A$13:$A$27, D149) &gt; 0, "Holiday", TEXT(D149, "dddd")))</f>
        <v>Friday</v>
      </c>
      <c r="C149" s="6" t="str">
        <f t="shared" si="2"/>
        <v>Friday</v>
      </c>
      <c r="D149" s="6">
        <v>46290.0</v>
      </c>
      <c r="E149" s="7"/>
      <c r="F149" s="7"/>
      <c r="G149" s="16"/>
      <c r="H149" s="14"/>
      <c r="I149" s="10" t="str">
        <f t="shared" si="4"/>
        <v/>
      </c>
      <c r="J149" s="11"/>
      <c r="P149" s="12" t="str">
        <f t="shared" si="3"/>
        <v/>
      </c>
    </row>
    <row r="150" ht="22.5" customHeight="1">
      <c r="A150" s="5">
        <f t="shared" si="1"/>
        <v>39</v>
      </c>
      <c r="B150" s="6" t="str">
        <f>IF(OR(WEEKDAY(D150)=1, WEEKDAY(D150)=7), TEXT(D150, "dddd"), IF(COUNTIF(Reference!$A$13:$A$27, D150) &gt; 0, "Holiday", TEXT(D150, "dddd")))</f>
        <v>Saturday</v>
      </c>
      <c r="C150" s="6" t="str">
        <f t="shared" si="2"/>
        <v>Saturday</v>
      </c>
      <c r="D150" s="6">
        <v>46291.0</v>
      </c>
      <c r="E150" s="7"/>
      <c r="F150" s="7"/>
      <c r="G150" s="16"/>
      <c r="H150" s="14"/>
      <c r="I150" s="10" t="str">
        <f t="shared" si="4"/>
        <v/>
      </c>
      <c r="J150" s="11"/>
      <c r="P150" s="12" t="str">
        <f t="shared" si="3"/>
        <v/>
      </c>
    </row>
    <row r="151" ht="22.5" customHeight="1">
      <c r="A151" s="5">
        <f t="shared" si="1"/>
        <v>39</v>
      </c>
      <c r="B151" s="6" t="str">
        <f>IF(OR(WEEKDAY(D151)=1, WEEKDAY(D151)=7), TEXT(D151, "dddd"), IF(COUNTIF(Reference!$A$13:$A$27, D151) &gt; 0, "Holiday", TEXT(D151, "dddd")))</f>
        <v>Sunday</v>
      </c>
      <c r="C151" s="6" t="str">
        <f t="shared" si="2"/>
        <v>Sunday</v>
      </c>
      <c r="D151" s="6">
        <v>46292.0</v>
      </c>
      <c r="E151" s="7"/>
      <c r="F151" s="7"/>
      <c r="G151" s="16"/>
      <c r="H151" s="14"/>
      <c r="I151" s="10" t="str">
        <f t="shared" si="4"/>
        <v/>
      </c>
      <c r="J151" s="11"/>
      <c r="P151" s="12" t="str">
        <f t="shared" si="3"/>
        <v/>
      </c>
    </row>
    <row r="152" ht="22.5" customHeight="1">
      <c r="A152" s="5">
        <f t="shared" si="1"/>
        <v>40</v>
      </c>
      <c r="B152" s="6" t="str">
        <f>IF(OR(WEEKDAY(D152)=1, WEEKDAY(D152)=7), TEXT(D152, "dddd"), IF(COUNTIF(Reference!$A$13:$A$27, D152) &gt; 0, "Holiday", TEXT(D152, "dddd")))</f>
        <v>Monday</v>
      </c>
      <c r="C152" s="6" t="str">
        <f t="shared" si="2"/>
        <v>Monday</v>
      </c>
      <c r="D152" s="6">
        <v>46293.0</v>
      </c>
      <c r="E152" s="7"/>
      <c r="F152" s="7"/>
      <c r="G152" s="16"/>
      <c r="H152" s="14"/>
      <c r="I152" s="10" t="str">
        <f t="shared" si="4"/>
        <v/>
      </c>
      <c r="J152" s="11"/>
      <c r="P152" s="12" t="str">
        <f t="shared" si="3"/>
        <v/>
      </c>
    </row>
    <row r="153" ht="22.5" customHeight="1">
      <c r="A153" s="5">
        <f t="shared" si="1"/>
        <v>40</v>
      </c>
      <c r="B153" s="6" t="str">
        <f>IF(OR(WEEKDAY(D153)=1, WEEKDAY(D153)=7), TEXT(D153, "dddd"), IF(COUNTIF(Reference!$A$13:$A$27, D153) &gt; 0, "Holiday", TEXT(D153, "dddd")))</f>
        <v>Tuesday</v>
      </c>
      <c r="C153" s="6" t="str">
        <f t="shared" si="2"/>
        <v>Tuesday</v>
      </c>
      <c r="D153" s="6">
        <v>46294.0</v>
      </c>
      <c r="E153" s="7"/>
      <c r="F153" s="7"/>
      <c r="G153" s="16"/>
      <c r="H153" s="14"/>
      <c r="I153" s="10" t="str">
        <f t="shared" si="4"/>
        <v/>
      </c>
      <c r="J153" s="11"/>
      <c r="P153" s="12" t="str">
        <f t="shared" si="3"/>
        <v/>
      </c>
    </row>
    <row r="154" ht="22.5" customHeight="1">
      <c r="A154" s="5">
        <f t="shared" si="1"/>
        <v>40</v>
      </c>
      <c r="B154" s="6" t="str">
        <f>IF(OR(WEEKDAY(D154)=1, WEEKDAY(D154)=7), TEXT(D154, "dddd"), IF(COUNTIF(Reference!$A$13:$A$27, D154) &gt; 0, "Holiday", TEXT(D154, "dddd")))</f>
        <v>Wednesday</v>
      </c>
      <c r="C154" s="6" t="str">
        <f t="shared" si="2"/>
        <v>Wednesday</v>
      </c>
      <c r="D154" s="6">
        <v>46295.0</v>
      </c>
      <c r="E154" s="7"/>
      <c r="F154" s="7"/>
      <c r="G154" s="16"/>
      <c r="H154" s="14"/>
      <c r="I154" s="10" t="str">
        <f t="shared" si="4"/>
        <v/>
      </c>
      <c r="J154" s="11"/>
      <c r="P154" s="12" t="str">
        <f t="shared" si="3"/>
        <v/>
      </c>
    </row>
    <row r="155" ht="22.5" customHeight="1">
      <c r="A155" s="5">
        <f t="shared" si="1"/>
        <v>40</v>
      </c>
      <c r="B155" s="6" t="str">
        <f>IF(OR(WEEKDAY(D155)=1, WEEKDAY(D155)=7), TEXT(D155, "dddd"), IF(COUNTIF(Reference!$A$13:$A$27, D155) &gt; 0, "Holiday", TEXT(D155, "dddd")))</f>
        <v>Thursday</v>
      </c>
      <c r="C155" s="6" t="str">
        <f t="shared" si="2"/>
        <v>Thursday</v>
      </c>
      <c r="D155" s="6">
        <v>46296.0</v>
      </c>
      <c r="E155" s="7"/>
      <c r="F155" s="7"/>
      <c r="G155" s="16"/>
      <c r="H155" s="14"/>
      <c r="I155" s="10" t="str">
        <f t="shared" si="4"/>
        <v/>
      </c>
      <c r="J155" s="11"/>
      <c r="P155" s="12" t="str">
        <f t="shared" si="3"/>
        <v/>
      </c>
    </row>
    <row r="156" ht="22.5" customHeight="1">
      <c r="A156" s="5">
        <f t="shared" si="1"/>
        <v>40</v>
      </c>
      <c r="B156" s="6" t="str">
        <f>IF(OR(WEEKDAY(D156)=1, WEEKDAY(D156)=7), TEXT(D156, "dddd"), IF(COUNTIF(Reference!$A$13:$A$27, D156) &gt; 0, "Holiday", TEXT(D156, "dddd")))</f>
        <v>Friday</v>
      </c>
      <c r="C156" s="6" t="str">
        <f t="shared" si="2"/>
        <v>Friday</v>
      </c>
      <c r="D156" s="6">
        <v>46297.0</v>
      </c>
      <c r="E156" s="7"/>
      <c r="F156" s="7"/>
      <c r="G156" s="16"/>
      <c r="H156" s="14"/>
      <c r="I156" s="10" t="str">
        <f t="shared" si="4"/>
        <v/>
      </c>
      <c r="J156" s="11"/>
      <c r="P156" s="12" t="str">
        <f t="shared" si="3"/>
        <v/>
      </c>
    </row>
    <row r="157" ht="22.5" customHeight="1">
      <c r="A157" s="5">
        <f t="shared" si="1"/>
        <v>40</v>
      </c>
      <c r="B157" s="6" t="str">
        <f>IF(OR(WEEKDAY(D157)=1, WEEKDAY(D157)=7), TEXT(D157, "dddd"), IF(COUNTIF(Reference!$A$13:$A$27, D157) &gt; 0, "Holiday", TEXT(D157, "dddd")))</f>
        <v>Saturday</v>
      </c>
      <c r="C157" s="6" t="str">
        <f t="shared" si="2"/>
        <v>Saturday</v>
      </c>
      <c r="D157" s="6">
        <v>46298.0</v>
      </c>
      <c r="E157" s="7"/>
      <c r="F157" s="7"/>
      <c r="G157" s="16"/>
      <c r="H157" s="14"/>
      <c r="I157" s="10" t="str">
        <f t="shared" si="4"/>
        <v/>
      </c>
      <c r="J157" s="11"/>
      <c r="P157" s="12" t="str">
        <f t="shared" si="3"/>
        <v/>
      </c>
    </row>
    <row r="158" ht="22.5" customHeight="1">
      <c r="A158" s="5">
        <f t="shared" si="1"/>
        <v>40</v>
      </c>
      <c r="B158" s="6" t="str">
        <f>IF(OR(WEEKDAY(D158)=1, WEEKDAY(D158)=7), TEXT(D158, "dddd"), IF(COUNTIF(Reference!$A$13:$A$27, D158) &gt; 0, "Holiday", TEXT(D158, "dddd")))</f>
        <v>Sunday</v>
      </c>
      <c r="C158" s="6" t="str">
        <f t="shared" si="2"/>
        <v>Sunday</v>
      </c>
      <c r="D158" s="6">
        <v>46299.0</v>
      </c>
      <c r="E158" s="7"/>
      <c r="F158" s="7"/>
      <c r="G158" s="16"/>
      <c r="H158" s="14"/>
      <c r="I158" s="10" t="str">
        <f t="shared" si="4"/>
        <v/>
      </c>
      <c r="J158" s="11"/>
      <c r="P158" s="12" t="str">
        <f t="shared" si="3"/>
        <v/>
      </c>
    </row>
    <row r="159" ht="22.5" customHeight="1">
      <c r="A159" s="5">
        <f t="shared" si="1"/>
        <v>41</v>
      </c>
      <c r="B159" s="6" t="str">
        <f>IF(OR(WEEKDAY(D159)=1, WEEKDAY(D159)=7), TEXT(D159, "dddd"), IF(COUNTIF(Reference!$A$13:$A$27, D159) &gt; 0, "Holiday", TEXT(D159, "dddd")))</f>
        <v>Monday</v>
      </c>
      <c r="C159" s="6" t="str">
        <f t="shared" si="2"/>
        <v>Monday</v>
      </c>
      <c r="D159" s="6">
        <v>46300.0</v>
      </c>
      <c r="E159" s="7"/>
      <c r="F159" s="7"/>
      <c r="G159" s="16"/>
      <c r="H159" s="14"/>
      <c r="I159" s="10" t="str">
        <f t="shared" si="4"/>
        <v/>
      </c>
      <c r="J159" s="11"/>
      <c r="P159" s="12" t="str">
        <f t="shared" si="3"/>
        <v/>
      </c>
    </row>
    <row r="160" ht="22.5" customHeight="1">
      <c r="A160" s="5">
        <f t="shared" si="1"/>
        <v>41</v>
      </c>
      <c r="B160" s="6" t="str">
        <f>IF(OR(WEEKDAY(D160)=1, WEEKDAY(D160)=7), TEXT(D160, "dddd"), IF(COUNTIF(Reference!$A$13:$A$27, D160) &gt; 0, "Holiday", TEXT(D160, "dddd")))</f>
        <v>Tuesday</v>
      </c>
      <c r="C160" s="6" t="str">
        <f t="shared" si="2"/>
        <v>Tuesday</v>
      </c>
      <c r="D160" s="6">
        <v>46301.0</v>
      </c>
      <c r="E160" s="7"/>
      <c r="F160" s="7"/>
      <c r="G160" s="16"/>
      <c r="H160" s="14"/>
      <c r="I160" s="10" t="str">
        <f t="shared" si="4"/>
        <v/>
      </c>
      <c r="J160" s="11"/>
      <c r="P160" s="12" t="str">
        <f t="shared" si="3"/>
        <v/>
      </c>
    </row>
    <row r="161" ht="22.5" customHeight="1">
      <c r="A161" s="5">
        <f t="shared" si="1"/>
        <v>41</v>
      </c>
      <c r="B161" s="6" t="str">
        <f>IF(OR(WEEKDAY(D161)=1, WEEKDAY(D161)=7), TEXT(D161, "dddd"), IF(COUNTIF(Reference!$A$13:$A$27, D161) &gt; 0, "Holiday", TEXT(D161, "dddd")))</f>
        <v>Wednesday</v>
      </c>
      <c r="C161" s="6" t="str">
        <f t="shared" si="2"/>
        <v>Wednesday</v>
      </c>
      <c r="D161" s="6">
        <v>46302.0</v>
      </c>
      <c r="E161" s="7"/>
      <c r="F161" s="7"/>
      <c r="G161" s="16"/>
      <c r="H161" s="14"/>
      <c r="I161" s="10" t="str">
        <f t="shared" si="4"/>
        <v/>
      </c>
      <c r="J161" s="11"/>
      <c r="P161" s="12" t="str">
        <f t="shared" si="3"/>
        <v/>
      </c>
    </row>
    <row r="162" ht="22.5" customHeight="1">
      <c r="A162" s="5">
        <f t="shared" si="1"/>
        <v>41</v>
      </c>
      <c r="B162" s="6" t="str">
        <f>IF(OR(WEEKDAY(D162)=1, WEEKDAY(D162)=7), TEXT(D162, "dddd"), IF(COUNTIF(Reference!$A$13:$A$27, D162) &gt; 0, "Holiday", TEXT(D162, "dddd")))</f>
        <v>Thursday</v>
      </c>
      <c r="C162" s="6" t="str">
        <f t="shared" si="2"/>
        <v>Thursday</v>
      </c>
      <c r="D162" s="6">
        <v>46303.0</v>
      </c>
      <c r="E162" s="7"/>
      <c r="F162" s="7"/>
      <c r="G162" s="16"/>
      <c r="H162" s="14"/>
      <c r="I162" s="10" t="str">
        <f t="shared" si="4"/>
        <v/>
      </c>
      <c r="J162" s="11"/>
      <c r="P162" s="12" t="str">
        <f t="shared" si="3"/>
        <v/>
      </c>
    </row>
    <row r="163" ht="22.5" customHeight="1">
      <c r="A163" s="5">
        <f t="shared" si="1"/>
        <v>41</v>
      </c>
      <c r="B163" s="6" t="str">
        <f>IF(OR(WEEKDAY(D163)=1, WEEKDAY(D163)=7), TEXT(D163, "dddd"), IF(COUNTIF(Reference!$A$13:$A$27, D163) &gt; 0, "Holiday", TEXT(D163, "dddd")))</f>
        <v>Friday</v>
      </c>
      <c r="C163" s="6" t="str">
        <f t="shared" si="2"/>
        <v>Friday</v>
      </c>
      <c r="D163" s="6">
        <v>46304.0</v>
      </c>
      <c r="E163" s="7"/>
      <c r="F163" s="7"/>
      <c r="G163" s="16"/>
      <c r="H163" s="14"/>
      <c r="I163" s="10" t="str">
        <f t="shared" si="4"/>
        <v/>
      </c>
      <c r="J163" s="11"/>
      <c r="P163" s="12" t="str">
        <f t="shared" si="3"/>
        <v/>
      </c>
    </row>
    <row r="164" ht="22.5" customHeight="1">
      <c r="A164" s="5">
        <f t="shared" si="1"/>
        <v>41</v>
      </c>
      <c r="B164" s="6" t="str">
        <f>IF(OR(WEEKDAY(D164)=1, WEEKDAY(D164)=7), TEXT(D164, "dddd"), IF(COUNTIF(Reference!$A$13:$A$27, D164) &gt; 0, "Holiday", TEXT(D164, "dddd")))</f>
        <v>Saturday</v>
      </c>
      <c r="C164" s="6" t="str">
        <f t="shared" si="2"/>
        <v>Saturday</v>
      </c>
      <c r="D164" s="6">
        <v>46305.0</v>
      </c>
      <c r="E164" s="7"/>
      <c r="F164" s="7"/>
      <c r="G164" s="16"/>
      <c r="H164" s="14"/>
      <c r="I164" s="10" t="str">
        <f t="shared" si="4"/>
        <v/>
      </c>
      <c r="J164" s="11"/>
      <c r="P164" s="12" t="str">
        <f t="shared" si="3"/>
        <v/>
      </c>
    </row>
    <row r="165" ht="22.5" customHeight="1">
      <c r="A165" s="5">
        <f t="shared" si="1"/>
        <v>41</v>
      </c>
      <c r="B165" s="6" t="str">
        <f>IF(OR(WEEKDAY(D165)=1, WEEKDAY(D165)=7), TEXT(D165, "dddd"), IF(COUNTIF(Reference!$A$13:$A$27, D165) &gt; 0, "Holiday", TEXT(D165, "dddd")))</f>
        <v>Sunday</v>
      </c>
      <c r="C165" s="6" t="str">
        <f t="shared" si="2"/>
        <v>Sunday</v>
      </c>
      <c r="D165" s="6">
        <v>46306.0</v>
      </c>
      <c r="E165" s="7"/>
      <c r="F165" s="7"/>
      <c r="G165" s="16"/>
      <c r="H165" s="14"/>
      <c r="I165" s="10" t="str">
        <f t="shared" si="4"/>
        <v/>
      </c>
      <c r="J165" s="11"/>
      <c r="P165" s="12" t="str">
        <f t="shared" si="3"/>
        <v/>
      </c>
    </row>
    <row r="166" ht="22.5" customHeight="1">
      <c r="A166" s="5">
        <f t="shared" si="1"/>
        <v>42</v>
      </c>
      <c r="B166" s="6" t="str">
        <f>IF(OR(WEEKDAY(D166)=1, WEEKDAY(D166)=7), TEXT(D166, "dddd"), IF(COUNTIF(Reference!$A$13:$A$27, D166) &gt; 0, "Holiday", TEXT(D166, "dddd")))</f>
        <v>Monday</v>
      </c>
      <c r="C166" s="6" t="str">
        <f t="shared" si="2"/>
        <v>Monday</v>
      </c>
      <c r="D166" s="6">
        <v>46307.0</v>
      </c>
      <c r="E166" s="7"/>
      <c r="F166" s="7"/>
      <c r="G166" s="16"/>
      <c r="H166" s="14"/>
      <c r="I166" s="10" t="str">
        <f t="shared" si="4"/>
        <v/>
      </c>
      <c r="J166" s="11"/>
      <c r="P166" s="12" t="str">
        <f t="shared" si="3"/>
        <v/>
      </c>
    </row>
    <row r="167" ht="22.5" customHeight="1">
      <c r="A167" s="5">
        <f t="shared" si="1"/>
        <v>42</v>
      </c>
      <c r="B167" s="6" t="str">
        <f>IF(OR(WEEKDAY(D167)=1, WEEKDAY(D167)=7), TEXT(D167, "dddd"), IF(COUNTIF(Reference!$A$13:$A$27, D167) &gt; 0, "Holiday", TEXT(D167, "dddd")))</f>
        <v>Tuesday</v>
      </c>
      <c r="C167" s="6" t="str">
        <f t="shared" si="2"/>
        <v>Tuesday</v>
      </c>
      <c r="D167" s="6">
        <v>46308.0</v>
      </c>
      <c r="E167" s="7"/>
      <c r="F167" s="7"/>
      <c r="G167" s="16"/>
      <c r="H167" s="14"/>
      <c r="I167" s="10" t="str">
        <f t="shared" si="4"/>
        <v/>
      </c>
      <c r="J167" s="11"/>
      <c r="P167" s="12" t="str">
        <f t="shared" si="3"/>
        <v/>
      </c>
    </row>
    <row r="168" ht="22.5" customHeight="1">
      <c r="A168" s="5">
        <f t="shared" si="1"/>
        <v>42</v>
      </c>
      <c r="B168" s="6" t="str">
        <f>IF(OR(WEEKDAY(D168)=1, WEEKDAY(D168)=7), TEXT(D168, "dddd"), IF(COUNTIF(Reference!$A$13:$A$27, D168) &gt; 0, "Holiday", TEXT(D168, "dddd")))</f>
        <v>Wednesday</v>
      </c>
      <c r="C168" s="6" t="str">
        <f t="shared" si="2"/>
        <v>Wednesday</v>
      </c>
      <c r="D168" s="6">
        <v>46309.0</v>
      </c>
      <c r="E168" s="7"/>
      <c r="F168" s="7"/>
      <c r="G168" s="16"/>
      <c r="H168" s="14"/>
      <c r="I168" s="10" t="str">
        <f t="shared" si="4"/>
        <v/>
      </c>
      <c r="J168" s="11"/>
      <c r="P168" s="12" t="str">
        <f t="shared" si="3"/>
        <v/>
      </c>
    </row>
    <row r="169" ht="22.5" customHeight="1">
      <c r="A169" s="5">
        <f t="shared" si="1"/>
        <v>42</v>
      </c>
      <c r="B169" s="6" t="str">
        <f>IF(OR(WEEKDAY(D169)=1, WEEKDAY(D169)=7), TEXT(D169, "dddd"), IF(COUNTIF(Reference!$A$13:$A$27, D169) &gt; 0, "Holiday", TEXT(D169, "dddd")))</f>
        <v>Thursday</v>
      </c>
      <c r="C169" s="6" t="str">
        <f t="shared" si="2"/>
        <v>Thursday</v>
      </c>
      <c r="D169" s="6">
        <v>46310.0</v>
      </c>
      <c r="E169" s="7"/>
      <c r="F169" s="7"/>
      <c r="G169" s="16"/>
      <c r="H169" s="14"/>
      <c r="I169" s="10" t="str">
        <f t="shared" si="4"/>
        <v/>
      </c>
      <c r="J169" s="11"/>
      <c r="P169" s="12" t="str">
        <f t="shared" si="3"/>
        <v/>
      </c>
    </row>
    <row r="170" ht="22.5" customHeight="1">
      <c r="A170" s="5">
        <f t="shared" si="1"/>
        <v>42</v>
      </c>
      <c r="B170" s="6" t="str">
        <f>IF(OR(WEEKDAY(D170)=1, WEEKDAY(D170)=7), TEXT(D170, "dddd"), IF(COUNTIF(Reference!$A$13:$A$27, D170) &gt; 0, "Holiday", TEXT(D170, "dddd")))</f>
        <v>Friday</v>
      </c>
      <c r="C170" s="6" t="str">
        <f t="shared" si="2"/>
        <v>Friday</v>
      </c>
      <c r="D170" s="6">
        <v>46311.0</v>
      </c>
      <c r="E170" s="7"/>
      <c r="F170" s="7"/>
      <c r="G170" s="16"/>
      <c r="H170" s="14"/>
      <c r="I170" s="10" t="str">
        <f t="shared" si="4"/>
        <v/>
      </c>
      <c r="J170" s="11"/>
      <c r="P170" s="12" t="str">
        <f t="shared" si="3"/>
        <v/>
      </c>
    </row>
    <row r="171" ht="22.5" customHeight="1">
      <c r="A171" s="5">
        <f t="shared" si="1"/>
        <v>42</v>
      </c>
      <c r="B171" s="6" t="str">
        <f>IF(OR(WEEKDAY(D171)=1, WEEKDAY(D171)=7), TEXT(D171, "dddd"), IF(COUNTIF(Reference!$A$13:$A$27, D171) &gt; 0, "Holiday", TEXT(D171, "dddd")))</f>
        <v>Saturday</v>
      </c>
      <c r="C171" s="6" t="str">
        <f t="shared" si="2"/>
        <v>Saturday</v>
      </c>
      <c r="D171" s="6">
        <v>46312.0</v>
      </c>
      <c r="E171" s="7"/>
      <c r="F171" s="7"/>
      <c r="G171" s="16"/>
      <c r="H171" s="14"/>
      <c r="I171" s="10" t="str">
        <f t="shared" si="4"/>
        <v/>
      </c>
      <c r="J171" s="11"/>
      <c r="P171" s="12" t="str">
        <f t="shared" si="3"/>
        <v/>
      </c>
    </row>
    <row r="172" ht="22.5" customHeight="1">
      <c r="A172" s="5">
        <f t="shared" si="1"/>
        <v>42</v>
      </c>
      <c r="B172" s="6" t="str">
        <f>IF(OR(WEEKDAY(D172)=1, WEEKDAY(D172)=7), TEXT(D172, "dddd"), IF(COUNTIF(Reference!$A$13:$A$27, D172) &gt; 0, "Holiday", TEXT(D172, "dddd")))</f>
        <v>Sunday</v>
      </c>
      <c r="C172" s="6" t="str">
        <f t="shared" si="2"/>
        <v>Sunday</v>
      </c>
      <c r="D172" s="6">
        <v>46313.0</v>
      </c>
      <c r="E172" s="7"/>
      <c r="F172" s="7"/>
      <c r="G172" s="16"/>
      <c r="H172" s="14"/>
      <c r="I172" s="10" t="str">
        <f t="shared" si="4"/>
        <v/>
      </c>
      <c r="J172" s="11"/>
      <c r="P172" s="12" t="str">
        <f t="shared" si="3"/>
        <v/>
      </c>
    </row>
    <row r="173" ht="22.5" customHeight="1">
      <c r="A173" s="5">
        <f t="shared" si="1"/>
        <v>43</v>
      </c>
      <c r="B173" s="6" t="str">
        <f>IF(OR(WEEKDAY(D173)=1, WEEKDAY(D173)=7), TEXT(D173, "dddd"), IF(COUNTIF(Reference!$A$13:$A$27, D173) &gt; 0, "Holiday", TEXT(D173, "dddd")))</f>
        <v>Monday</v>
      </c>
      <c r="C173" s="6" t="str">
        <f t="shared" si="2"/>
        <v>Monday</v>
      </c>
      <c r="D173" s="6">
        <v>46314.0</v>
      </c>
      <c r="E173" s="7"/>
      <c r="F173" s="7"/>
      <c r="G173" s="16"/>
      <c r="H173" s="14"/>
      <c r="I173" s="10" t="str">
        <f t="shared" si="4"/>
        <v/>
      </c>
      <c r="J173" s="11"/>
      <c r="P173" s="12" t="str">
        <f t="shared" si="3"/>
        <v/>
      </c>
    </row>
    <row r="174" ht="22.5" customHeight="1">
      <c r="A174" s="5">
        <f t="shared" si="1"/>
        <v>43</v>
      </c>
      <c r="B174" s="6" t="str">
        <f>IF(OR(WEEKDAY(D174)=1, WEEKDAY(D174)=7), TEXT(D174, "dddd"), IF(COUNTIF(Reference!$A$13:$A$27, D174) &gt; 0, "Holiday", TEXT(D174, "dddd")))</f>
        <v>Tuesday</v>
      </c>
      <c r="C174" s="6" t="str">
        <f t="shared" si="2"/>
        <v>Tuesday</v>
      </c>
      <c r="D174" s="6">
        <v>46315.0</v>
      </c>
      <c r="E174" s="7"/>
      <c r="F174" s="7"/>
      <c r="G174" s="16"/>
      <c r="H174" s="14"/>
      <c r="I174" s="10" t="str">
        <f t="shared" si="4"/>
        <v/>
      </c>
      <c r="J174" s="11"/>
      <c r="P174" s="12" t="str">
        <f t="shared" si="3"/>
        <v/>
      </c>
    </row>
    <row r="175" ht="22.5" customHeight="1">
      <c r="A175" s="5">
        <f t="shared" si="1"/>
        <v>43</v>
      </c>
      <c r="B175" s="6" t="str">
        <f>IF(OR(WEEKDAY(D175)=1, WEEKDAY(D175)=7), TEXT(D175, "dddd"), IF(COUNTIF(Reference!$A$13:$A$27, D175) &gt; 0, "Holiday", TEXT(D175, "dddd")))</f>
        <v>Wednesday</v>
      </c>
      <c r="C175" s="6" t="str">
        <f t="shared" si="2"/>
        <v>Wednesday</v>
      </c>
      <c r="D175" s="6">
        <v>46316.0</v>
      </c>
      <c r="E175" s="7"/>
      <c r="F175" s="7"/>
      <c r="G175" s="16"/>
      <c r="H175" s="14"/>
      <c r="I175" s="10" t="str">
        <f t="shared" si="4"/>
        <v/>
      </c>
      <c r="J175" s="11"/>
      <c r="P175" s="12" t="str">
        <f t="shared" si="3"/>
        <v/>
      </c>
    </row>
    <row r="176" ht="22.5" customHeight="1">
      <c r="A176" s="5">
        <f t="shared" si="1"/>
        <v>43</v>
      </c>
      <c r="B176" s="6" t="str">
        <f>IF(OR(WEEKDAY(D176)=1, WEEKDAY(D176)=7), TEXT(D176, "dddd"), IF(COUNTIF(Reference!$A$13:$A$27, D176) &gt; 0, "Holiday", TEXT(D176, "dddd")))</f>
        <v>Thursday</v>
      </c>
      <c r="C176" s="6" t="str">
        <f t="shared" si="2"/>
        <v>Thursday</v>
      </c>
      <c r="D176" s="6">
        <v>46317.0</v>
      </c>
      <c r="E176" s="7"/>
      <c r="F176" s="7"/>
      <c r="G176" s="16"/>
      <c r="H176" s="14"/>
      <c r="I176" s="10" t="str">
        <f t="shared" si="4"/>
        <v/>
      </c>
      <c r="J176" s="11"/>
      <c r="P176" s="12" t="str">
        <f t="shared" si="3"/>
        <v/>
      </c>
    </row>
    <row r="177" ht="22.5" customHeight="1">
      <c r="A177" s="5">
        <f t="shared" si="1"/>
        <v>43</v>
      </c>
      <c r="B177" s="6" t="str">
        <f>IF(OR(WEEKDAY(D177)=1, WEEKDAY(D177)=7), TEXT(D177, "dddd"), IF(COUNTIF(Reference!$A$13:$A$27, D177) &gt; 0, "Holiday", TEXT(D177, "dddd")))</f>
        <v>Friday</v>
      </c>
      <c r="C177" s="6" t="str">
        <f t="shared" si="2"/>
        <v>Friday</v>
      </c>
      <c r="D177" s="6">
        <v>46318.0</v>
      </c>
      <c r="E177" s="7"/>
      <c r="F177" s="7"/>
      <c r="G177" s="16"/>
      <c r="H177" s="14"/>
      <c r="I177" s="10" t="str">
        <f t="shared" si="4"/>
        <v/>
      </c>
      <c r="J177" s="11"/>
      <c r="P177" s="12" t="str">
        <f t="shared" si="3"/>
        <v/>
      </c>
    </row>
    <row r="178" ht="22.5" customHeight="1">
      <c r="A178" s="5">
        <f t="shared" si="1"/>
        <v>43</v>
      </c>
      <c r="B178" s="6" t="str">
        <f>IF(OR(WEEKDAY(D178)=1, WEEKDAY(D178)=7), TEXT(D178, "dddd"), IF(COUNTIF(Reference!$A$13:$A$27, D178) &gt; 0, "Holiday", TEXT(D178, "dddd")))</f>
        <v>Saturday</v>
      </c>
      <c r="C178" s="6" t="str">
        <f t="shared" si="2"/>
        <v>Saturday</v>
      </c>
      <c r="D178" s="6">
        <v>46319.0</v>
      </c>
      <c r="E178" s="7"/>
      <c r="F178" s="7"/>
      <c r="G178" s="16"/>
      <c r="H178" s="14"/>
      <c r="I178" s="10" t="str">
        <f t="shared" si="4"/>
        <v/>
      </c>
      <c r="J178" s="11"/>
      <c r="P178" s="12" t="str">
        <f t="shared" si="3"/>
        <v/>
      </c>
    </row>
    <row r="179" ht="22.5" customHeight="1">
      <c r="A179" s="5">
        <f t="shared" si="1"/>
        <v>43</v>
      </c>
      <c r="B179" s="6" t="str">
        <f>IF(OR(WEEKDAY(D179)=1, WEEKDAY(D179)=7), TEXT(D179, "dddd"), IF(COUNTIF(Reference!$A$13:$A$27, D179) &gt; 0, "Holiday", TEXT(D179, "dddd")))</f>
        <v>Sunday</v>
      </c>
      <c r="C179" s="6" t="str">
        <f t="shared" si="2"/>
        <v>Sunday</v>
      </c>
      <c r="D179" s="6">
        <v>46320.0</v>
      </c>
      <c r="E179" s="7"/>
      <c r="F179" s="7"/>
      <c r="G179" s="16"/>
      <c r="H179" s="14"/>
      <c r="I179" s="10" t="str">
        <f t="shared" si="4"/>
        <v/>
      </c>
      <c r="J179" s="11"/>
      <c r="P179" s="12" t="str">
        <f t="shared" si="3"/>
        <v/>
      </c>
    </row>
    <row r="180" ht="22.5" customHeight="1">
      <c r="A180" s="5">
        <f t="shared" si="1"/>
        <v>44</v>
      </c>
      <c r="B180" s="6" t="str">
        <f>IF(OR(WEEKDAY(D180)=1, WEEKDAY(D180)=7), TEXT(D180, "dddd"), IF(COUNTIF(Reference!$A$13:$A$27, D180) &gt; 0, "Holiday", TEXT(D180, "dddd")))</f>
        <v>Monday</v>
      </c>
      <c r="C180" s="6" t="str">
        <f t="shared" si="2"/>
        <v>Monday</v>
      </c>
      <c r="D180" s="6">
        <v>46321.0</v>
      </c>
      <c r="E180" s="7"/>
      <c r="F180" s="7"/>
      <c r="G180" s="16"/>
      <c r="H180" s="14"/>
      <c r="I180" s="10" t="str">
        <f t="shared" si="4"/>
        <v/>
      </c>
      <c r="J180" s="11"/>
      <c r="P180" s="12" t="str">
        <f t="shared" si="3"/>
        <v/>
      </c>
    </row>
    <row r="181" ht="22.5" customHeight="1">
      <c r="A181" s="5">
        <f t="shared" si="1"/>
        <v>44</v>
      </c>
      <c r="B181" s="6" t="str">
        <f>IF(OR(WEEKDAY(D181)=1, WEEKDAY(D181)=7), TEXT(D181, "dddd"), IF(COUNTIF(Reference!$A$13:$A$27, D181) &gt; 0, "Holiday", TEXT(D181, "dddd")))</f>
        <v>Tuesday</v>
      </c>
      <c r="C181" s="6" t="str">
        <f t="shared" si="2"/>
        <v>Tuesday</v>
      </c>
      <c r="D181" s="6">
        <v>46322.0</v>
      </c>
      <c r="E181" s="7"/>
      <c r="F181" s="7"/>
      <c r="G181" s="16"/>
      <c r="H181" s="14"/>
      <c r="I181" s="10" t="str">
        <f t="shared" si="4"/>
        <v/>
      </c>
      <c r="J181" s="11"/>
      <c r="P181" s="12" t="str">
        <f t="shared" si="3"/>
        <v/>
      </c>
    </row>
    <row r="182" ht="22.5" customHeight="1">
      <c r="A182" s="5">
        <f t="shared" si="1"/>
        <v>44</v>
      </c>
      <c r="B182" s="6" t="str">
        <f>IF(OR(WEEKDAY(D182)=1, WEEKDAY(D182)=7), TEXT(D182, "dddd"), IF(COUNTIF(Reference!$A$13:$A$27, D182) &gt; 0, "Holiday", TEXT(D182, "dddd")))</f>
        <v>Wednesday</v>
      </c>
      <c r="C182" s="6" t="str">
        <f t="shared" si="2"/>
        <v>Wednesday</v>
      </c>
      <c r="D182" s="6">
        <v>46323.0</v>
      </c>
      <c r="E182" s="7"/>
      <c r="F182" s="7"/>
      <c r="G182" s="16"/>
      <c r="H182" s="14"/>
      <c r="I182" s="10" t="str">
        <f t="shared" si="4"/>
        <v/>
      </c>
      <c r="J182" s="11"/>
      <c r="P182" s="12" t="str">
        <f t="shared" si="3"/>
        <v/>
      </c>
    </row>
    <row r="183" ht="22.5" customHeight="1">
      <c r="A183" s="5">
        <f t="shared" si="1"/>
        <v>44</v>
      </c>
      <c r="B183" s="6" t="str">
        <f>IF(OR(WEEKDAY(D183)=1, WEEKDAY(D183)=7), TEXT(D183, "dddd"), IF(COUNTIF(Reference!$A$13:$A$27, D183) &gt; 0, "Holiday", TEXT(D183, "dddd")))</f>
        <v>Thursday</v>
      </c>
      <c r="C183" s="6" t="str">
        <f t="shared" si="2"/>
        <v>Thursday</v>
      </c>
      <c r="D183" s="6">
        <v>46324.0</v>
      </c>
      <c r="E183" s="7"/>
      <c r="F183" s="7"/>
      <c r="G183" s="16"/>
      <c r="H183" s="14"/>
      <c r="I183" s="10" t="str">
        <f t="shared" si="4"/>
        <v/>
      </c>
      <c r="J183" s="11"/>
      <c r="P183" s="12" t="str">
        <f t="shared" si="3"/>
        <v/>
      </c>
    </row>
    <row r="184" ht="22.5" customHeight="1">
      <c r="A184" s="5">
        <f t="shared" si="1"/>
        <v>44</v>
      </c>
      <c r="B184" s="6" t="str">
        <f>IF(OR(WEEKDAY(D184)=1, WEEKDAY(D184)=7), TEXT(D184, "dddd"), IF(COUNTIF(Reference!$A$13:$A$27, D184) &gt; 0, "Holiday", TEXT(D184, "dddd")))</f>
        <v>Friday</v>
      </c>
      <c r="C184" s="6" t="str">
        <f t="shared" si="2"/>
        <v>Friday</v>
      </c>
      <c r="D184" s="6">
        <v>46325.0</v>
      </c>
      <c r="E184" s="7"/>
      <c r="F184" s="7"/>
      <c r="G184" s="16"/>
      <c r="H184" s="14"/>
      <c r="I184" s="10" t="str">
        <f t="shared" si="4"/>
        <v/>
      </c>
      <c r="J184" s="11"/>
      <c r="P184" s="12" t="str">
        <f t="shared" si="3"/>
        <v/>
      </c>
    </row>
    <row r="185" ht="22.5" customHeight="1">
      <c r="A185" s="5">
        <f t="shared" si="1"/>
        <v>44</v>
      </c>
      <c r="B185" s="6" t="str">
        <f>IF(OR(WEEKDAY(D185)=1, WEEKDAY(D185)=7), TEXT(D185, "dddd"), IF(COUNTIF(Reference!$A$13:$A$27, D185) &gt; 0, "Holiday", TEXT(D185, "dddd")))</f>
        <v>Saturday</v>
      </c>
      <c r="C185" s="6" t="str">
        <f t="shared" si="2"/>
        <v>Saturday</v>
      </c>
      <c r="D185" s="6">
        <v>46326.0</v>
      </c>
      <c r="E185" s="7"/>
      <c r="F185" s="7"/>
      <c r="G185" s="16"/>
      <c r="H185" s="14"/>
      <c r="I185" s="10" t="str">
        <f t="shared" si="4"/>
        <v/>
      </c>
      <c r="J185" s="11"/>
      <c r="P185" s="12" t="str">
        <f t="shared" si="3"/>
        <v/>
      </c>
    </row>
    <row r="186" ht="22.5" customHeight="1">
      <c r="A186" s="5">
        <f t="shared" si="1"/>
        <v>44</v>
      </c>
      <c r="B186" s="6" t="str">
        <f>IF(OR(WEEKDAY(D186)=1, WEEKDAY(D186)=7), TEXT(D186, "dddd"), IF(COUNTIF(Reference!$A$13:$A$27, D186) &gt; 0, "Holiday", TEXT(D186, "dddd")))</f>
        <v>Sunday</v>
      </c>
      <c r="C186" s="6" t="str">
        <f t="shared" si="2"/>
        <v>Sunday</v>
      </c>
      <c r="D186" s="6">
        <v>46327.0</v>
      </c>
      <c r="E186" s="7"/>
      <c r="F186" s="7"/>
      <c r="G186" s="16"/>
      <c r="H186" s="14"/>
      <c r="I186" s="10" t="str">
        <f t="shared" si="4"/>
        <v/>
      </c>
      <c r="J186" s="11"/>
      <c r="P186" s="12" t="str">
        <f t="shared" si="3"/>
        <v/>
      </c>
    </row>
    <row r="187" ht="22.5" customHeight="1">
      <c r="A187" s="5">
        <f t="shared" si="1"/>
        <v>45</v>
      </c>
      <c r="B187" s="6" t="str">
        <f>IF(OR(WEEKDAY(D187)=1, WEEKDAY(D187)=7), TEXT(D187, "dddd"), IF(COUNTIF(Reference!$A$13:$A$27, D187) &gt; 0, "Holiday", TEXT(D187, "dddd")))</f>
        <v>Monday</v>
      </c>
      <c r="C187" s="6" t="str">
        <f t="shared" si="2"/>
        <v>Monday</v>
      </c>
      <c r="D187" s="6">
        <v>46328.0</v>
      </c>
      <c r="E187" s="7"/>
      <c r="F187" s="7"/>
      <c r="G187" s="16"/>
      <c r="H187" s="14"/>
      <c r="I187" s="10" t="str">
        <f t="shared" si="4"/>
        <v/>
      </c>
      <c r="J187" s="11"/>
      <c r="P187" s="12" t="str">
        <f t="shared" si="3"/>
        <v/>
      </c>
    </row>
    <row r="188" ht="22.5" customHeight="1">
      <c r="A188" s="5">
        <f t="shared" si="1"/>
        <v>45</v>
      </c>
      <c r="B188" s="6" t="str">
        <f>IF(OR(WEEKDAY(D188)=1, WEEKDAY(D188)=7), TEXT(D188, "dddd"), IF(COUNTIF(Reference!$A$13:$A$27, D188) &gt; 0, "Holiday", TEXT(D188, "dddd")))</f>
        <v>Tuesday</v>
      </c>
      <c r="C188" s="6" t="str">
        <f t="shared" si="2"/>
        <v>Tuesday</v>
      </c>
      <c r="D188" s="6">
        <v>46329.0</v>
      </c>
      <c r="E188" s="7"/>
      <c r="F188" s="7"/>
      <c r="G188" s="16"/>
      <c r="H188" s="14"/>
      <c r="I188" s="10" t="str">
        <f t="shared" si="4"/>
        <v/>
      </c>
      <c r="J188" s="11"/>
      <c r="P188" s="12" t="str">
        <f t="shared" si="3"/>
        <v/>
      </c>
    </row>
    <row r="189" ht="22.5" customHeight="1">
      <c r="A189" s="5">
        <f t="shared" si="1"/>
        <v>45</v>
      </c>
      <c r="B189" s="6" t="str">
        <f>IF(OR(WEEKDAY(D189)=1, WEEKDAY(D189)=7), TEXT(D189, "dddd"), IF(COUNTIF(Reference!$A$13:$A$27, D189) &gt; 0, "Holiday", TEXT(D189, "dddd")))</f>
        <v>Wednesday</v>
      </c>
      <c r="C189" s="6" t="str">
        <f t="shared" si="2"/>
        <v>Wednesday</v>
      </c>
      <c r="D189" s="6">
        <v>46330.0</v>
      </c>
      <c r="E189" s="7"/>
      <c r="F189" s="7"/>
      <c r="G189" s="16"/>
      <c r="H189" s="14"/>
      <c r="I189" s="10" t="str">
        <f t="shared" si="4"/>
        <v/>
      </c>
      <c r="J189" s="11"/>
      <c r="P189" s="12" t="str">
        <f t="shared" si="3"/>
        <v/>
      </c>
    </row>
    <row r="190" ht="22.5" customHeight="1">
      <c r="A190" s="5">
        <f t="shared" si="1"/>
        <v>45</v>
      </c>
      <c r="B190" s="6" t="str">
        <f>IF(OR(WEEKDAY(D190)=1, WEEKDAY(D190)=7), TEXT(D190, "dddd"), IF(COUNTIF(Reference!$A$13:$A$27, D190) &gt; 0, "Holiday", TEXT(D190, "dddd")))</f>
        <v>Thursday</v>
      </c>
      <c r="C190" s="6" t="str">
        <f t="shared" si="2"/>
        <v>Thursday</v>
      </c>
      <c r="D190" s="6">
        <v>46331.0</v>
      </c>
      <c r="E190" s="7"/>
      <c r="F190" s="7"/>
      <c r="G190" s="16"/>
      <c r="H190" s="14"/>
      <c r="I190" s="10" t="str">
        <f t="shared" si="4"/>
        <v/>
      </c>
      <c r="J190" s="11"/>
      <c r="P190" s="12" t="str">
        <f t="shared" si="3"/>
        <v/>
      </c>
    </row>
    <row r="191" ht="22.5" customHeight="1">
      <c r="A191" s="5">
        <f t="shared" si="1"/>
        <v>45</v>
      </c>
      <c r="B191" s="6" t="str">
        <f>IF(OR(WEEKDAY(D191)=1, WEEKDAY(D191)=7), TEXT(D191, "dddd"), IF(COUNTIF(Reference!$A$13:$A$27, D191) &gt; 0, "Holiday", TEXT(D191, "dddd")))</f>
        <v>Friday</v>
      </c>
      <c r="C191" s="6" t="str">
        <f t="shared" si="2"/>
        <v>Friday</v>
      </c>
      <c r="D191" s="6">
        <v>46332.0</v>
      </c>
      <c r="E191" s="7"/>
      <c r="F191" s="7"/>
      <c r="G191" s="16"/>
      <c r="H191" s="14"/>
      <c r="I191" s="10" t="str">
        <f t="shared" si="4"/>
        <v/>
      </c>
      <c r="J191" s="11"/>
      <c r="P191" s="12" t="str">
        <f t="shared" si="3"/>
        <v/>
      </c>
    </row>
    <row r="192" ht="22.5" customHeight="1">
      <c r="A192" s="5">
        <f t="shared" si="1"/>
        <v>45</v>
      </c>
      <c r="B192" s="6" t="str">
        <f>IF(OR(WEEKDAY(D192)=1, WEEKDAY(D192)=7), TEXT(D192, "dddd"), IF(COUNTIF(Reference!$A$13:$A$27, D192) &gt; 0, "Holiday", TEXT(D192, "dddd")))</f>
        <v>Saturday</v>
      </c>
      <c r="C192" s="6" t="str">
        <f t="shared" si="2"/>
        <v>Saturday</v>
      </c>
      <c r="D192" s="6">
        <v>46333.0</v>
      </c>
      <c r="E192" s="7"/>
      <c r="F192" s="7"/>
      <c r="G192" s="16"/>
      <c r="H192" s="14"/>
      <c r="I192" s="10" t="str">
        <f t="shared" si="4"/>
        <v/>
      </c>
      <c r="J192" s="11"/>
      <c r="P192" s="12" t="str">
        <f t="shared" si="3"/>
        <v/>
      </c>
    </row>
    <row r="193" ht="22.5" customHeight="1">
      <c r="A193" s="5">
        <f t="shared" si="1"/>
        <v>45</v>
      </c>
      <c r="B193" s="6" t="str">
        <f>IF(OR(WEEKDAY(D193)=1, WEEKDAY(D193)=7), TEXT(D193, "dddd"), IF(COUNTIF(Reference!$A$13:$A$27, D193) &gt; 0, "Holiday", TEXT(D193, "dddd")))</f>
        <v>Sunday</v>
      </c>
      <c r="C193" s="6" t="str">
        <f t="shared" si="2"/>
        <v>Sunday</v>
      </c>
      <c r="D193" s="6">
        <v>46334.0</v>
      </c>
      <c r="E193" s="7"/>
      <c r="F193" s="7"/>
      <c r="G193" s="16"/>
      <c r="H193" s="14"/>
      <c r="I193" s="10" t="str">
        <f t="shared" si="4"/>
        <v/>
      </c>
      <c r="J193" s="11"/>
      <c r="P193" s="12" t="str">
        <f t="shared" si="3"/>
        <v/>
      </c>
    </row>
    <row r="194" ht="22.5" customHeight="1">
      <c r="A194" s="5">
        <f t="shared" si="1"/>
        <v>46</v>
      </c>
      <c r="B194" s="6" t="str">
        <f>IF(OR(WEEKDAY(D194)=1, WEEKDAY(D194)=7), TEXT(D194, "dddd"), IF(COUNTIF(Reference!$A$13:$A$27, D194) &gt; 0, "Holiday", TEXT(D194, "dddd")))</f>
        <v>Monday</v>
      </c>
      <c r="C194" s="6" t="str">
        <f t="shared" si="2"/>
        <v>Monday</v>
      </c>
      <c r="D194" s="6">
        <v>46335.0</v>
      </c>
      <c r="E194" s="7"/>
      <c r="F194" s="7"/>
      <c r="G194" s="16"/>
      <c r="H194" s="14"/>
      <c r="I194" s="10" t="str">
        <f t="shared" si="4"/>
        <v/>
      </c>
      <c r="J194" s="11"/>
      <c r="P194" s="12" t="str">
        <f t="shared" si="3"/>
        <v/>
      </c>
    </row>
    <row r="195" ht="22.5" customHeight="1">
      <c r="A195" s="5">
        <f t="shared" si="1"/>
        <v>46</v>
      </c>
      <c r="B195" s="6" t="str">
        <f>IF(OR(WEEKDAY(D195)=1, WEEKDAY(D195)=7), TEXT(D195, "dddd"), IF(COUNTIF(Reference!$A$13:$A$27, D195) &gt; 0, "Holiday", TEXT(D195, "dddd")))</f>
        <v>Tuesday</v>
      </c>
      <c r="C195" s="6" t="str">
        <f t="shared" si="2"/>
        <v>Tuesday</v>
      </c>
      <c r="D195" s="6">
        <v>46336.0</v>
      </c>
      <c r="E195" s="7"/>
      <c r="F195" s="7"/>
      <c r="G195" s="16"/>
      <c r="H195" s="14"/>
      <c r="I195" s="10" t="str">
        <f t="shared" si="4"/>
        <v/>
      </c>
      <c r="J195" s="11"/>
      <c r="P195" s="12" t="str">
        <f t="shared" si="3"/>
        <v/>
      </c>
    </row>
    <row r="196" ht="22.5" customHeight="1">
      <c r="A196" s="5">
        <f t="shared" si="1"/>
        <v>46</v>
      </c>
      <c r="B196" s="6" t="str">
        <f>IF(OR(WEEKDAY(D196)=1, WEEKDAY(D196)=7), TEXT(D196, "dddd"), IF(COUNTIF(Reference!$A$13:$A$27, D196) &gt; 0, "Holiday", TEXT(D196, "dddd")))</f>
        <v>Wednesday</v>
      </c>
      <c r="C196" s="6" t="str">
        <f t="shared" si="2"/>
        <v>Wednesday</v>
      </c>
      <c r="D196" s="6">
        <v>46337.0</v>
      </c>
      <c r="E196" s="7"/>
      <c r="F196" s="7"/>
      <c r="G196" s="16"/>
      <c r="H196" s="14"/>
      <c r="I196" s="10" t="str">
        <f t="shared" si="4"/>
        <v/>
      </c>
      <c r="J196" s="11"/>
      <c r="P196" s="12" t="str">
        <f t="shared" si="3"/>
        <v/>
      </c>
    </row>
    <row r="197" ht="22.5" customHeight="1">
      <c r="A197" s="5">
        <f t="shared" si="1"/>
        <v>46</v>
      </c>
      <c r="B197" s="6" t="str">
        <f>IF(OR(WEEKDAY(D197)=1, WEEKDAY(D197)=7), TEXT(D197, "dddd"), IF(COUNTIF(Reference!$A$13:$A$27, D197) &gt; 0, "Holiday", TEXT(D197, "dddd")))</f>
        <v>Thursday</v>
      </c>
      <c r="C197" s="6" t="str">
        <f t="shared" si="2"/>
        <v>Thursday</v>
      </c>
      <c r="D197" s="6">
        <v>46338.0</v>
      </c>
      <c r="E197" s="7"/>
      <c r="F197" s="7"/>
      <c r="G197" s="16"/>
      <c r="H197" s="14"/>
      <c r="I197" s="10" t="str">
        <f t="shared" si="4"/>
        <v/>
      </c>
      <c r="J197" s="11"/>
      <c r="P197" s="12" t="str">
        <f t="shared" si="3"/>
        <v/>
      </c>
    </row>
    <row r="198" ht="22.5" customHeight="1">
      <c r="A198" s="5">
        <f t="shared" si="1"/>
        <v>46</v>
      </c>
      <c r="B198" s="6" t="str">
        <f>IF(OR(WEEKDAY(D198)=1, WEEKDAY(D198)=7), TEXT(D198, "dddd"), IF(COUNTIF(Reference!$A$13:$A$27, D198) &gt; 0, "Holiday", TEXT(D198, "dddd")))</f>
        <v>Friday</v>
      </c>
      <c r="C198" s="6" t="str">
        <f t="shared" si="2"/>
        <v>Friday</v>
      </c>
      <c r="D198" s="6">
        <v>46339.0</v>
      </c>
      <c r="E198" s="7"/>
      <c r="F198" s="7"/>
      <c r="G198" s="16"/>
      <c r="H198" s="14"/>
      <c r="I198" s="10" t="str">
        <f t="shared" si="4"/>
        <v/>
      </c>
      <c r="J198" s="11"/>
      <c r="P198" s="12" t="str">
        <f t="shared" si="3"/>
        <v/>
      </c>
    </row>
    <row r="199" ht="22.5" customHeight="1">
      <c r="A199" s="5">
        <f t="shared" si="1"/>
        <v>46</v>
      </c>
      <c r="B199" s="6" t="str">
        <f>IF(OR(WEEKDAY(D199)=1, WEEKDAY(D199)=7), TEXT(D199, "dddd"), IF(COUNTIF(Reference!$A$13:$A$27, D199) &gt; 0, "Holiday", TEXT(D199, "dddd")))</f>
        <v>Saturday</v>
      </c>
      <c r="C199" s="6" t="str">
        <f t="shared" si="2"/>
        <v>Saturday</v>
      </c>
      <c r="D199" s="6">
        <v>46340.0</v>
      </c>
      <c r="E199" s="7"/>
      <c r="F199" s="7"/>
      <c r="G199" s="16"/>
      <c r="H199" s="14"/>
      <c r="I199" s="10" t="str">
        <f t="shared" si="4"/>
        <v/>
      </c>
      <c r="J199" s="11"/>
      <c r="P199" s="12" t="str">
        <f t="shared" si="3"/>
        <v/>
      </c>
    </row>
    <row r="200" ht="22.5" customHeight="1">
      <c r="A200" s="5">
        <f t="shared" si="1"/>
        <v>46</v>
      </c>
      <c r="B200" s="6" t="str">
        <f>IF(OR(WEEKDAY(D200)=1, WEEKDAY(D200)=7), TEXT(D200, "dddd"), IF(COUNTIF(Reference!$A$13:$A$27, D200) &gt; 0, "Holiday", TEXT(D200, "dddd")))</f>
        <v>Sunday</v>
      </c>
      <c r="C200" s="6" t="str">
        <f t="shared" si="2"/>
        <v>Sunday</v>
      </c>
      <c r="D200" s="6">
        <v>46341.0</v>
      </c>
      <c r="E200" s="7"/>
      <c r="F200" s="7"/>
      <c r="G200" s="16"/>
      <c r="H200" s="14"/>
      <c r="I200" s="10" t="str">
        <f t="shared" si="4"/>
        <v/>
      </c>
      <c r="J200" s="11"/>
      <c r="P200" s="12" t="str">
        <f t="shared" si="3"/>
        <v/>
      </c>
    </row>
    <row r="201" ht="22.5" customHeight="1">
      <c r="A201" s="5">
        <f t="shared" si="1"/>
        <v>47</v>
      </c>
      <c r="B201" s="6" t="str">
        <f>IF(OR(WEEKDAY(D201)=1, WEEKDAY(D201)=7), TEXT(D201, "dddd"), IF(COUNTIF(Reference!$A$13:$A$27, D201) &gt; 0, "Holiday", TEXT(D201, "dddd")))</f>
        <v>Monday</v>
      </c>
      <c r="C201" s="6" t="str">
        <f t="shared" si="2"/>
        <v>Monday</v>
      </c>
      <c r="D201" s="6">
        <v>46342.0</v>
      </c>
      <c r="E201" s="7"/>
      <c r="F201" s="7"/>
      <c r="G201" s="16"/>
      <c r="H201" s="14"/>
      <c r="I201" s="10" t="str">
        <f t="shared" si="4"/>
        <v/>
      </c>
      <c r="J201" s="11"/>
      <c r="P201" s="12" t="str">
        <f t="shared" si="3"/>
        <v/>
      </c>
    </row>
    <row r="202" ht="22.5" customHeight="1">
      <c r="A202" s="5">
        <f t="shared" si="1"/>
        <v>47</v>
      </c>
      <c r="B202" s="6" t="str">
        <f>IF(OR(WEEKDAY(D202)=1, WEEKDAY(D202)=7), TEXT(D202, "dddd"), IF(COUNTIF(Reference!$A$13:$A$27, D202) &gt; 0, "Holiday", TEXT(D202, "dddd")))</f>
        <v>Tuesday</v>
      </c>
      <c r="C202" s="6" t="str">
        <f t="shared" si="2"/>
        <v>Tuesday</v>
      </c>
      <c r="D202" s="6">
        <v>46343.0</v>
      </c>
      <c r="E202" s="7"/>
      <c r="F202" s="7"/>
      <c r="G202" s="16"/>
      <c r="H202" s="14"/>
      <c r="I202" s="10" t="str">
        <f t="shared" si="4"/>
        <v/>
      </c>
      <c r="J202" s="11"/>
      <c r="P202" s="12" t="str">
        <f t="shared" si="3"/>
        <v/>
      </c>
    </row>
    <row r="203" ht="22.5" customHeight="1">
      <c r="A203" s="5">
        <f t="shared" si="1"/>
        <v>47</v>
      </c>
      <c r="B203" s="6" t="str">
        <f>IF(OR(WEEKDAY(D203)=1, WEEKDAY(D203)=7), TEXT(D203, "dddd"), IF(COUNTIF(Reference!$A$13:$A$27, D203) &gt; 0, "Holiday", TEXT(D203, "dddd")))</f>
        <v>Wednesday</v>
      </c>
      <c r="C203" s="6" t="str">
        <f t="shared" si="2"/>
        <v>Wednesday</v>
      </c>
      <c r="D203" s="6">
        <v>46344.0</v>
      </c>
      <c r="E203" s="7"/>
      <c r="F203" s="7"/>
      <c r="G203" s="16"/>
      <c r="H203" s="14"/>
      <c r="I203" s="10" t="str">
        <f t="shared" si="4"/>
        <v/>
      </c>
      <c r="J203" s="11"/>
      <c r="P203" s="12" t="str">
        <f t="shared" si="3"/>
        <v/>
      </c>
    </row>
    <row r="204" ht="22.5" customHeight="1">
      <c r="A204" s="5">
        <f t="shared" si="1"/>
        <v>47</v>
      </c>
      <c r="B204" s="6" t="str">
        <f>IF(OR(WEEKDAY(D204)=1, WEEKDAY(D204)=7), TEXT(D204, "dddd"), IF(COUNTIF(Reference!$A$13:$A$27, D204) &gt; 0, "Holiday", TEXT(D204, "dddd")))</f>
        <v>Thursday</v>
      </c>
      <c r="C204" s="6" t="str">
        <f t="shared" si="2"/>
        <v>Thursday</v>
      </c>
      <c r="D204" s="6">
        <v>46345.0</v>
      </c>
      <c r="E204" s="7"/>
      <c r="F204" s="7"/>
      <c r="G204" s="16"/>
      <c r="H204" s="14"/>
      <c r="I204" s="10" t="str">
        <f t="shared" si="4"/>
        <v/>
      </c>
      <c r="J204" s="11"/>
      <c r="P204" s="12" t="str">
        <f t="shared" si="3"/>
        <v/>
      </c>
    </row>
    <row r="205" ht="22.5" customHeight="1">
      <c r="A205" s="5">
        <f t="shared" si="1"/>
        <v>47</v>
      </c>
      <c r="B205" s="6" t="str">
        <f>IF(OR(WEEKDAY(D205)=1, WEEKDAY(D205)=7), TEXT(D205, "dddd"), IF(COUNTIF(Reference!$A$13:$A$27, D205) &gt; 0, "Holiday", TEXT(D205, "dddd")))</f>
        <v>Friday</v>
      </c>
      <c r="C205" s="6" t="str">
        <f t="shared" si="2"/>
        <v>Friday</v>
      </c>
      <c r="D205" s="6">
        <v>46346.0</v>
      </c>
      <c r="E205" s="7"/>
      <c r="F205" s="7"/>
      <c r="G205" s="16"/>
      <c r="H205" s="14"/>
      <c r="I205" s="10" t="str">
        <f t="shared" si="4"/>
        <v/>
      </c>
      <c r="J205" s="11"/>
      <c r="P205" s="12" t="str">
        <f t="shared" si="3"/>
        <v/>
      </c>
    </row>
    <row r="206" ht="22.5" customHeight="1">
      <c r="A206" s="5">
        <f t="shared" si="1"/>
        <v>47</v>
      </c>
      <c r="B206" s="6" t="str">
        <f>IF(OR(WEEKDAY(D206)=1, WEEKDAY(D206)=7), TEXT(D206, "dddd"), IF(COUNTIF(Reference!$A$13:$A$27, D206) &gt; 0, "Holiday", TEXT(D206, "dddd")))</f>
        <v>Saturday</v>
      </c>
      <c r="C206" s="6" t="str">
        <f t="shared" si="2"/>
        <v>Saturday</v>
      </c>
      <c r="D206" s="6">
        <v>46347.0</v>
      </c>
      <c r="E206" s="7"/>
      <c r="F206" s="7"/>
      <c r="G206" s="16"/>
      <c r="H206" s="14"/>
      <c r="I206" s="10" t="str">
        <f t="shared" si="4"/>
        <v/>
      </c>
      <c r="J206" s="11"/>
      <c r="P206" s="12" t="str">
        <f t="shared" si="3"/>
        <v/>
      </c>
    </row>
    <row r="207" ht="22.5" customHeight="1">
      <c r="A207" s="5">
        <f t="shared" si="1"/>
        <v>47</v>
      </c>
      <c r="B207" s="6" t="str">
        <f>IF(OR(WEEKDAY(D207)=1, WEEKDAY(D207)=7), TEXT(D207, "dddd"), IF(COUNTIF(Reference!$A$13:$A$27, D207) &gt; 0, "Holiday", TEXT(D207, "dddd")))</f>
        <v>Sunday</v>
      </c>
      <c r="C207" s="6" t="str">
        <f t="shared" si="2"/>
        <v>Sunday</v>
      </c>
      <c r="D207" s="6">
        <v>46348.0</v>
      </c>
      <c r="E207" s="7"/>
      <c r="F207" s="7"/>
      <c r="G207" s="16"/>
      <c r="H207" s="14"/>
      <c r="I207" s="10" t="str">
        <f t="shared" si="4"/>
        <v/>
      </c>
      <c r="J207" s="11"/>
      <c r="P207" s="12" t="str">
        <f t="shared" si="3"/>
        <v/>
      </c>
    </row>
    <row r="208" ht="22.5" customHeight="1">
      <c r="A208" s="5">
        <f t="shared" si="1"/>
        <v>48</v>
      </c>
      <c r="B208" s="6" t="str">
        <f>IF(OR(WEEKDAY(D208)=1, WEEKDAY(D208)=7), TEXT(D208, "dddd"), IF(COUNTIF(Reference!$A$13:$A$27, D208) &gt; 0, "Holiday", TEXT(D208, "dddd")))</f>
        <v>Monday</v>
      </c>
      <c r="C208" s="6" t="str">
        <f t="shared" si="2"/>
        <v>Monday</v>
      </c>
      <c r="D208" s="6">
        <v>46349.0</v>
      </c>
      <c r="E208" s="7"/>
      <c r="F208" s="7"/>
      <c r="G208" s="16"/>
      <c r="H208" s="14"/>
      <c r="I208" s="10" t="str">
        <f t="shared" si="4"/>
        <v/>
      </c>
      <c r="J208" s="11"/>
      <c r="P208" s="12" t="str">
        <f t="shared" si="3"/>
        <v/>
      </c>
    </row>
    <row r="209" ht="22.5" customHeight="1">
      <c r="A209" s="5">
        <f t="shared" si="1"/>
        <v>48</v>
      </c>
      <c r="B209" s="6" t="str">
        <f>IF(OR(WEEKDAY(D209)=1, WEEKDAY(D209)=7), TEXT(D209, "dddd"), IF(COUNTIF(Reference!$A$13:$A$27, D209) &gt; 0, "Holiday", TEXT(D209, "dddd")))</f>
        <v>Tuesday</v>
      </c>
      <c r="C209" s="6" t="str">
        <f t="shared" si="2"/>
        <v>Tuesday</v>
      </c>
      <c r="D209" s="6">
        <v>46350.0</v>
      </c>
      <c r="E209" s="7"/>
      <c r="F209" s="7"/>
      <c r="G209" s="16"/>
      <c r="H209" s="14"/>
      <c r="I209" s="10" t="str">
        <f t="shared" si="4"/>
        <v/>
      </c>
      <c r="J209" s="11"/>
      <c r="P209" s="12" t="str">
        <f t="shared" si="3"/>
        <v/>
      </c>
    </row>
    <row r="210" ht="22.5" customHeight="1">
      <c r="A210" s="5">
        <f t="shared" si="1"/>
        <v>48</v>
      </c>
      <c r="B210" s="6" t="str">
        <f>IF(OR(WEEKDAY(D210)=1, WEEKDAY(D210)=7), TEXT(D210, "dddd"), IF(COUNTIF(Reference!$A$13:$A$27, D210) &gt; 0, "Holiday", TEXT(D210, "dddd")))</f>
        <v>Wednesday</v>
      </c>
      <c r="C210" s="6" t="str">
        <f t="shared" si="2"/>
        <v>Wednesday</v>
      </c>
      <c r="D210" s="6">
        <v>46351.0</v>
      </c>
      <c r="E210" s="7"/>
      <c r="F210" s="7"/>
      <c r="G210" s="16"/>
      <c r="H210" s="14"/>
      <c r="I210" s="10" t="str">
        <f t="shared" si="4"/>
        <v/>
      </c>
      <c r="J210" s="11"/>
      <c r="P210" s="12" t="str">
        <f t="shared" si="3"/>
        <v/>
      </c>
    </row>
    <row r="211" ht="22.5" customHeight="1">
      <c r="A211" s="5">
        <f t="shared" si="1"/>
        <v>48</v>
      </c>
      <c r="B211" s="6" t="str">
        <f>IF(OR(WEEKDAY(D211)=1, WEEKDAY(D211)=7), TEXT(D211, "dddd"), IF(COUNTIF(Reference!$A$13:$A$27, D211) &gt; 0, "Holiday", TEXT(D211, "dddd")))</f>
        <v>Thursday</v>
      </c>
      <c r="C211" s="6" t="str">
        <f t="shared" si="2"/>
        <v>Thursday</v>
      </c>
      <c r="D211" s="6">
        <v>46352.0</v>
      </c>
      <c r="E211" s="7"/>
      <c r="F211" s="7"/>
      <c r="G211" s="16"/>
      <c r="H211" s="14"/>
      <c r="I211" s="10" t="str">
        <f t="shared" si="4"/>
        <v/>
      </c>
      <c r="J211" s="11"/>
      <c r="P211" s="12" t="str">
        <f t="shared" si="3"/>
        <v/>
      </c>
    </row>
    <row r="212" ht="22.5" customHeight="1">
      <c r="A212" s="5">
        <f t="shared" si="1"/>
        <v>48</v>
      </c>
      <c r="B212" s="6" t="str">
        <f>IF(OR(WEEKDAY(D212)=1, WEEKDAY(D212)=7), TEXT(D212, "dddd"), IF(COUNTIF(Reference!$A$13:$A$27, D212) &gt; 0, "Holiday", TEXT(D212, "dddd")))</f>
        <v>Friday</v>
      </c>
      <c r="C212" s="6" t="str">
        <f t="shared" si="2"/>
        <v>Friday</v>
      </c>
      <c r="D212" s="6">
        <v>46353.0</v>
      </c>
      <c r="E212" s="7"/>
      <c r="F212" s="7"/>
      <c r="G212" s="16"/>
      <c r="H212" s="14"/>
      <c r="I212" s="10" t="str">
        <f t="shared" si="4"/>
        <v/>
      </c>
      <c r="J212" s="11"/>
      <c r="P212" s="12" t="str">
        <f t="shared" si="3"/>
        <v/>
      </c>
    </row>
    <row r="213" ht="22.5" customHeight="1">
      <c r="A213" s="5">
        <f t="shared" si="1"/>
        <v>48</v>
      </c>
      <c r="B213" s="6" t="str">
        <f>IF(OR(WEEKDAY(D213)=1, WEEKDAY(D213)=7), TEXT(D213, "dddd"), IF(COUNTIF(Reference!$A$13:$A$27, D213) &gt; 0, "Holiday", TEXT(D213, "dddd")))</f>
        <v>Saturday</v>
      </c>
      <c r="C213" s="6" t="str">
        <f t="shared" si="2"/>
        <v>Saturday</v>
      </c>
      <c r="D213" s="6">
        <v>46354.0</v>
      </c>
      <c r="E213" s="7"/>
      <c r="F213" s="7"/>
      <c r="G213" s="16"/>
      <c r="H213" s="14"/>
      <c r="I213" s="10" t="str">
        <f t="shared" si="4"/>
        <v/>
      </c>
      <c r="J213" s="11"/>
      <c r="P213" s="12" t="str">
        <f t="shared" si="3"/>
        <v/>
      </c>
    </row>
    <row r="214" ht="22.5" customHeight="1">
      <c r="A214" s="5">
        <f t="shared" si="1"/>
        <v>48</v>
      </c>
      <c r="B214" s="6" t="str">
        <f>IF(OR(WEEKDAY(D214)=1, WEEKDAY(D214)=7), TEXT(D214, "dddd"), IF(COUNTIF(Reference!$A$13:$A$27, D214) &gt; 0, "Holiday", TEXT(D214, "dddd")))</f>
        <v>Sunday</v>
      </c>
      <c r="C214" s="6" t="str">
        <f t="shared" si="2"/>
        <v>Sunday</v>
      </c>
      <c r="D214" s="6">
        <v>46355.0</v>
      </c>
      <c r="E214" s="7"/>
      <c r="F214" s="7"/>
      <c r="G214" s="16"/>
      <c r="H214" s="14"/>
      <c r="I214" s="10" t="str">
        <f t="shared" si="4"/>
        <v/>
      </c>
      <c r="J214" s="11"/>
      <c r="P214" s="12" t="str">
        <f t="shared" si="3"/>
        <v/>
      </c>
    </row>
    <row r="215" ht="22.5" customHeight="1">
      <c r="A215" s="5">
        <f t="shared" si="1"/>
        <v>49</v>
      </c>
      <c r="B215" s="6" t="str">
        <f>IF(OR(WEEKDAY(D215)=1, WEEKDAY(D215)=7), TEXT(D215, "dddd"), IF(COUNTIF(Reference!$A$13:$A$27, D215) &gt; 0, "Holiday", TEXT(D215, "dddd")))</f>
        <v>Monday</v>
      </c>
      <c r="C215" s="6" t="str">
        <f t="shared" si="2"/>
        <v>Monday</v>
      </c>
      <c r="D215" s="6">
        <v>46356.0</v>
      </c>
      <c r="E215" s="7"/>
      <c r="F215" s="7"/>
      <c r="G215" s="16"/>
      <c r="H215" s="14"/>
      <c r="I215" s="10" t="str">
        <f t="shared" si="4"/>
        <v/>
      </c>
      <c r="J215" s="11"/>
      <c r="P215" s="12" t="str">
        <f t="shared" si="3"/>
        <v/>
      </c>
    </row>
    <row r="216" ht="22.5" customHeight="1">
      <c r="A216" s="5">
        <f t="shared" si="1"/>
        <v>49</v>
      </c>
      <c r="B216" s="6" t="str">
        <f>IF(OR(WEEKDAY(D216)=1, WEEKDAY(D216)=7), TEXT(D216, "dddd"), IF(COUNTIF(Reference!$A$13:$A$27, D216) &gt; 0, "Holiday", TEXT(D216, "dddd")))</f>
        <v>Tuesday</v>
      </c>
      <c r="C216" s="6" t="str">
        <f t="shared" si="2"/>
        <v>Tuesday</v>
      </c>
      <c r="D216" s="6">
        <v>46357.0</v>
      </c>
      <c r="E216" s="7"/>
      <c r="F216" s="7"/>
      <c r="G216" s="16"/>
      <c r="H216" s="14"/>
      <c r="I216" s="10" t="str">
        <f t="shared" si="4"/>
        <v/>
      </c>
      <c r="J216" s="11"/>
      <c r="P216" s="12" t="str">
        <f t="shared" si="3"/>
        <v/>
      </c>
    </row>
    <row r="217" ht="22.5" customHeight="1">
      <c r="A217" s="5">
        <f t="shared" si="1"/>
        <v>49</v>
      </c>
      <c r="B217" s="6" t="str">
        <f>IF(OR(WEEKDAY(D217)=1, WEEKDAY(D217)=7), TEXT(D217, "dddd"), IF(COUNTIF(Reference!$A$13:$A$27, D217) &gt; 0, "Holiday", TEXT(D217, "dddd")))</f>
        <v>Wednesday</v>
      </c>
      <c r="C217" s="6" t="str">
        <f t="shared" si="2"/>
        <v>Wednesday</v>
      </c>
      <c r="D217" s="6">
        <v>46358.0</v>
      </c>
      <c r="E217" s="7"/>
      <c r="F217" s="7"/>
      <c r="G217" s="16"/>
      <c r="H217" s="14"/>
      <c r="I217" s="10" t="str">
        <f t="shared" si="4"/>
        <v/>
      </c>
      <c r="J217" s="11"/>
      <c r="P217" s="12" t="str">
        <f t="shared" si="3"/>
        <v/>
      </c>
    </row>
    <row r="218" ht="22.5" customHeight="1">
      <c r="A218" s="5">
        <f t="shared" si="1"/>
        <v>49</v>
      </c>
      <c r="B218" s="6" t="str">
        <f>IF(OR(WEEKDAY(D218)=1, WEEKDAY(D218)=7), TEXT(D218, "dddd"), IF(COUNTIF(Reference!$A$13:$A$27, D218) &gt; 0, "Holiday", TEXT(D218, "dddd")))</f>
        <v>Thursday</v>
      </c>
      <c r="C218" s="6" t="str">
        <f t="shared" si="2"/>
        <v>Thursday</v>
      </c>
      <c r="D218" s="6">
        <v>46359.0</v>
      </c>
      <c r="E218" s="7"/>
      <c r="F218" s="7"/>
      <c r="G218" s="16"/>
      <c r="H218" s="14"/>
      <c r="I218" s="10" t="str">
        <f t="shared" si="4"/>
        <v/>
      </c>
      <c r="J218" s="11"/>
      <c r="P218" s="12" t="str">
        <f t="shared" si="3"/>
        <v/>
      </c>
    </row>
    <row r="219" ht="22.5" customHeight="1">
      <c r="A219" s="5">
        <f t="shared" si="1"/>
        <v>49</v>
      </c>
      <c r="B219" s="6" t="str">
        <f>IF(OR(WEEKDAY(D219)=1, WEEKDAY(D219)=7), TEXT(D219, "dddd"), IF(COUNTIF(Reference!$A$13:$A$27, D219) &gt; 0, "Holiday", TEXT(D219, "dddd")))</f>
        <v>Friday</v>
      </c>
      <c r="C219" s="6" t="str">
        <f t="shared" si="2"/>
        <v>Friday</v>
      </c>
      <c r="D219" s="6">
        <v>46360.0</v>
      </c>
      <c r="E219" s="7"/>
      <c r="F219" s="7"/>
      <c r="G219" s="16"/>
      <c r="H219" s="14"/>
      <c r="I219" s="10" t="str">
        <f t="shared" si="4"/>
        <v/>
      </c>
      <c r="J219" s="11"/>
      <c r="P219" s="12" t="str">
        <f t="shared" si="3"/>
        <v/>
      </c>
    </row>
    <row r="220" ht="22.5" customHeight="1">
      <c r="A220" s="5">
        <f t="shared" si="1"/>
        <v>49</v>
      </c>
      <c r="B220" s="6" t="str">
        <f>IF(OR(WEEKDAY(D220)=1, WEEKDAY(D220)=7), TEXT(D220, "dddd"), IF(COUNTIF(Reference!$A$13:$A$27, D220) &gt; 0, "Holiday", TEXT(D220, "dddd")))</f>
        <v>Saturday</v>
      </c>
      <c r="C220" s="6" t="str">
        <f t="shared" si="2"/>
        <v>Saturday</v>
      </c>
      <c r="D220" s="6">
        <v>46361.0</v>
      </c>
      <c r="E220" s="7"/>
      <c r="F220" s="7"/>
      <c r="G220" s="16"/>
      <c r="H220" s="14"/>
      <c r="I220" s="10" t="str">
        <f t="shared" si="4"/>
        <v/>
      </c>
      <c r="J220" s="11"/>
      <c r="P220" s="12" t="str">
        <f t="shared" si="3"/>
        <v/>
      </c>
    </row>
    <row r="221" ht="22.5" customHeight="1">
      <c r="A221" s="5">
        <f t="shared" si="1"/>
        <v>49</v>
      </c>
      <c r="B221" s="6" t="str">
        <f>IF(OR(WEEKDAY(D221)=1, WEEKDAY(D221)=7), TEXT(D221, "dddd"), IF(COUNTIF(Reference!$A$13:$A$27, D221) &gt; 0, "Holiday", TEXT(D221, "dddd")))</f>
        <v>Sunday</v>
      </c>
      <c r="C221" s="6" t="str">
        <f t="shared" si="2"/>
        <v>Sunday</v>
      </c>
      <c r="D221" s="6">
        <v>46362.0</v>
      </c>
      <c r="E221" s="7"/>
      <c r="F221" s="7"/>
      <c r="G221" s="16"/>
      <c r="H221" s="14"/>
      <c r="I221" s="10" t="str">
        <f t="shared" si="4"/>
        <v/>
      </c>
      <c r="J221" s="11"/>
      <c r="P221" s="12" t="str">
        <f t="shared" si="3"/>
        <v/>
      </c>
    </row>
    <row r="222" ht="22.5" customHeight="1">
      <c r="A222" s="5">
        <f t="shared" si="1"/>
        <v>50</v>
      </c>
      <c r="B222" s="6" t="str">
        <f>IF(OR(WEEKDAY(D222)=1, WEEKDAY(D222)=7), TEXT(D222, "dddd"), IF(COUNTIF(Reference!$A$13:$A$27, D222) &gt; 0, "Holiday", TEXT(D222, "dddd")))</f>
        <v>Monday</v>
      </c>
      <c r="C222" s="6" t="str">
        <f t="shared" si="2"/>
        <v>Monday</v>
      </c>
      <c r="D222" s="6">
        <v>46363.0</v>
      </c>
      <c r="E222" s="7"/>
      <c r="F222" s="7"/>
      <c r="G222" s="16"/>
      <c r="H222" s="14"/>
      <c r="I222" s="10" t="str">
        <f t="shared" si="4"/>
        <v/>
      </c>
      <c r="J222" s="11"/>
      <c r="P222" s="12" t="str">
        <f t="shared" si="3"/>
        <v/>
      </c>
    </row>
    <row r="223" ht="22.5" customHeight="1">
      <c r="A223" s="5">
        <f t="shared" si="1"/>
        <v>50</v>
      </c>
      <c r="B223" s="6" t="str">
        <f>IF(OR(WEEKDAY(D223)=1, WEEKDAY(D223)=7), TEXT(D223, "dddd"), IF(COUNTIF(Reference!$A$13:$A$27, D223) &gt; 0, "Holiday", TEXT(D223, "dddd")))</f>
        <v>Tuesday</v>
      </c>
      <c r="C223" s="6" t="str">
        <f t="shared" si="2"/>
        <v>Tuesday</v>
      </c>
      <c r="D223" s="6">
        <v>46364.0</v>
      </c>
      <c r="E223" s="7"/>
      <c r="F223" s="7"/>
      <c r="G223" s="16"/>
      <c r="H223" s="14"/>
      <c r="I223" s="10" t="str">
        <f t="shared" si="4"/>
        <v/>
      </c>
      <c r="J223" s="11"/>
      <c r="P223" s="12" t="str">
        <f t="shared" si="3"/>
        <v/>
      </c>
    </row>
    <row r="224" ht="22.5" customHeight="1">
      <c r="A224" s="5">
        <f t="shared" si="1"/>
        <v>50</v>
      </c>
      <c r="B224" s="6" t="str">
        <f>IF(OR(WEEKDAY(D224)=1, WEEKDAY(D224)=7), TEXT(D224, "dddd"), IF(COUNTIF(Reference!$A$13:$A$27, D224) &gt; 0, "Holiday", TEXT(D224, "dddd")))</f>
        <v>Wednesday</v>
      </c>
      <c r="C224" s="6" t="str">
        <f t="shared" si="2"/>
        <v>Wednesday</v>
      </c>
      <c r="D224" s="6">
        <v>46365.0</v>
      </c>
      <c r="E224" s="7"/>
      <c r="F224" s="7"/>
      <c r="G224" s="16"/>
      <c r="H224" s="14"/>
      <c r="I224" s="10" t="str">
        <f t="shared" si="4"/>
        <v/>
      </c>
      <c r="J224" s="11"/>
      <c r="P224" s="12" t="str">
        <f t="shared" si="3"/>
        <v/>
      </c>
    </row>
    <row r="225" ht="22.5" customHeight="1">
      <c r="A225" s="5">
        <f t="shared" si="1"/>
        <v>50</v>
      </c>
      <c r="B225" s="6" t="str">
        <f>IF(OR(WEEKDAY(D225)=1, WEEKDAY(D225)=7), TEXT(D225, "dddd"), IF(COUNTIF(Reference!$A$13:$A$27, D225) &gt; 0, "Holiday", TEXT(D225, "dddd")))</f>
        <v>Thursday</v>
      </c>
      <c r="C225" s="6" t="str">
        <f t="shared" si="2"/>
        <v>Thursday</v>
      </c>
      <c r="D225" s="6">
        <v>46366.0</v>
      </c>
      <c r="E225" s="7"/>
      <c r="F225" s="7"/>
      <c r="G225" s="16"/>
      <c r="H225" s="14"/>
      <c r="I225" s="10" t="str">
        <f t="shared" si="4"/>
        <v/>
      </c>
      <c r="J225" s="11"/>
      <c r="P225" s="12" t="str">
        <f t="shared" si="3"/>
        <v/>
      </c>
    </row>
    <row r="226" ht="22.5" customHeight="1">
      <c r="A226" s="5">
        <f t="shared" si="1"/>
        <v>50</v>
      </c>
      <c r="B226" s="6" t="str">
        <f>IF(OR(WEEKDAY(D226)=1, WEEKDAY(D226)=7), TEXT(D226, "dddd"), IF(COUNTIF(Reference!$A$13:$A$27, D226) &gt; 0, "Holiday", TEXT(D226, "dddd")))</f>
        <v>Friday</v>
      </c>
      <c r="C226" s="6" t="str">
        <f t="shared" si="2"/>
        <v>Friday</v>
      </c>
      <c r="D226" s="6">
        <v>46367.0</v>
      </c>
      <c r="E226" s="7"/>
      <c r="F226" s="7"/>
      <c r="G226" s="16"/>
      <c r="H226" s="14"/>
      <c r="I226" s="10" t="str">
        <f t="shared" si="4"/>
        <v/>
      </c>
      <c r="J226" s="11"/>
      <c r="P226" s="12" t="str">
        <f t="shared" si="3"/>
        <v/>
      </c>
    </row>
    <row r="227" ht="22.5" customHeight="1">
      <c r="A227" s="5">
        <f t="shared" si="1"/>
        <v>50</v>
      </c>
      <c r="B227" s="6" t="str">
        <f>IF(OR(WEEKDAY(D227)=1, WEEKDAY(D227)=7), TEXT(D227, "dddd"), IF(COUNTIF(Reference!$A$13:$A$27, D227) &gt; 0, "Holiday", TEXT(D227, "dddd")))</f>
        <v>Saturday</v>
      </c>
      <c r="C227" s="6" t="str">
        <f t="shared" si="2"/>
        <v>Saturday</v>
      </c>
      <c r="D227" s="6">
        <v>46368.0</v>
      </c>
      <c r="E227" s="7"/>
      <c r="F227" s="7"/>
      <c r="G227" s="16"/>
      <c r="H227" s="14"/>
      <c r="I227" s="10" t="str">
        <f t="shared" si="4"/>
        <v/>
      </c>
      <c r="J227" s="11"/>
      <c r="P227" s="12" t="str">
        <f t="shared" si="3"/>
        <v/>
      </c>
    </row>
    <row r="228" ht="22.5" customHeight="1">
      <c r="A228" s="5">
        <f t="shared" si="1"/>
        <v>50</v>
      </c>
      <c r="B228" s="6" t="str">
        <f>IF(OR(WEEKDAY(D228)=1, WEEKDAY(D228)=7), TEXT(D228, "dddd"), IF(COUNTIF(Reference!$A$13:$A$27, D228) &gt; 0, "Holiday", TEXT(D228, "dddd")))</f>
        <v>Sunday</v>
      </c>
      <c r="C228" s="6" t="str">
        <f t="shared" si="2"/>
        <v>Sunday</v>
      </c>
      <c r="D228" s="6">
        <v>46369.0</v>
      </c>
      <c r="E228" s="7"/>
      <c r="F228" s="7"/>
      <c r="G228" s="16"/>
      <c r="H228" s="14"/>
      <c r="I228" s="10" t="str">
        <f t="shared" si="4"/>
        <v/>
      </c>
      <c r="J228" s="11"/>
      <c r="P228" s="12" t="str">
        <f t="shared" si="3"/>
        <v/>
      </c>
    </row>
    <row r="229" ht="22.5" customHeight="1">
      <c r="A229" s="5">
        <f t="shared" si="1"/>
        <v>51</v>
      </c>
      <c r="B229" s="6" t="str">
        <f>IF(OR(WEEKDAY(D229)=1, WEEKDAY(D229)=7), TEXT(D229, "dddd"), IF(COUNTIF(Reference!$A$13:$A$27, D229) &gt; 0, "Holiday", TEXT(D229, "dddd")))</f>
        <v>Monday</v>
      </c>
      <c r="C229" s="6" t="str">
        <f t="shared" si="2"/>
        <v>Monday</v>
      </c>
      <c r="D229" s="6">
        <v>46370.0</v>
      </c>
      <c r="E229" s="7"/>
      <c r="F229" s="7"/>
      <c r="G229" s="16"/>
      <c r="H229" s="14"/>
      <c r="I229" s="10" t="str">
        <f t="shared" si="4"/>
        <v/>
      </c>
      <c r="J229" s="11"/>
      <c r="P229" s="12" t="str">
        <f t="shared" si="3"/>
        <v/>
      </c>
    </row>
    <row r="230" ht="22.5" customHeight="1">
      <c r="A230" s="5">
        <f t="shared" si="1"/>
        <v>51</v>
      </c>
      <c r="B230" s="6" t="str">
        <f>IF(OR(WEEKDAY(D230)=1, WEEKDAY(D230)=7), TEXT(D230, "dddd"), IF(COUNTIF(Reference!$A$13:$A$27, D230) &gt; 0, "Holiday", TEXT(D230, "dddd")))</f>
        <v>Tuesday</v>
      </c>
      <c r="C230" s="6" t="str">
        <f t="shared" si="2"/>
        <v>Tuesday</v>
      </c>
      <c r="D230" s="6">
        <v>46371.0</v>
      </c>
      <c r="E230" s="7"/>
      <c r="F230" s="7"/>
      <c r="G230" s="16"/>
      <c r="H230" s="14"/>
      <c r="I230" s="10" t="str">
        <f t="shared" si="4"/>
        <v/>
      </c>
      <c r="J230" s="11"/>
      <c r="P230" s="12" t="str">
        <f t="shared" si="3"/>
        <v/>
      </c>
    </row>
    <row r="231" ht="22.5" customHeight="1">
      <c r="A231" s="5">
        <f t="shared" si="1"/>
        <v>51</v>
      </c>
      <c r="B231" s="6" t="str">
        <f>IF(OR(WEEKDAY(D231)=1, WEEKDAY(D231)=7), TEXT(D231, "dddd"), IF(COUNTIF(Reference!$A$13:$A$27, D231) &gt; 0, "Holiday", TEXT(D231, "dddd")))</f>
        <v>Wednesday</v>
      </c>
      <c r="C231" s="6" t="str">
        <f t="shared" si="2"/>
        <v>Wednesday</v>
      </c>
      <c r="D231" s="6">
        <v>46372.0</v>
      </c>
      <c r="E231" s="7"/>
      <c r="F231" s="7"/>
      <c r="G231" s="16"/>
      <c r="H231" s="14"/>
      <c r="I231" s="10" t="str">
        <f t="shared" si="4"/>
        <v/>
      </c>
      <c r="J231" s="11"/>
      <c r="P231" s="12" t="str">
        <f t="shared" si="3"/>
        <v/>
      </c>
    </row>
    <row r="232" ht="22.5" customHeight="1">
      <c r="A232" s="5">
        <f t="shared" si="1"/>
        <v>51</v>
      </c>
      <c r="B232" s="6" t="str">
        <f>IF(OR(WEEKDAY(D232)=1, WEEKDAY(D232)=7), TEXT(D232, "dddd"), IF(COUNTIF(Reference!$A$13:$A$27, D232) &gt; 0, "Holiday", TEXT(D232, "dddd")))</f>
        <v>Thursday</v>
      </c>
      <c r="C232" s="6" t="str">
        <f t="shared" si="2"/>
        <v>Thursday</v>
      </c>
      <c r="D232" s="6">
        <v>46373.0</v>
      </c>
      <c r="E232" s="7"/>
      <c r="F232" s="7"/>
      <c r="G232" s="16"/>
      <c r="H232" s="14"/>
      <c r="I232" s="10" t="str">
        <f t="shared" si="4"/>
        <v/>
      </c>
      <c r="J232" s="11"/>
      <c r="P232" s="12" t="str">
        <f t="shared" si="3"/>
        <v/>
      </c>
    </row>
    <row r="233" ht="22.5" customHeight="1">
      <c r="A233" s="5">
        <f t="shared" si="1"/>
        <v>51</v>
      </c>
      <c r="B233" s="6" t="str">
        <f>IF(OR(WEEKDAY(D233)=1, WEEKDAY(D233)=7), TEXT(D233, "dddd"), IF(COUNTIF(Reference!$A$13:$A$27, D233) &gt; 0, "Holiday", TEXT(D233, "dddd")))</f>
        <v>Friday</v>
      </c>
      <c r="C233" s="6" t="str">
        <f t="shared" si="2"/>
        <v>Friday</v>
      </c>
      <c r="D233" s="6">
        <v>46374.0</v>
      </c>
      <c r="E233" s="7"/>
      <c r="F233" s="7"/>
      <c r="G233" s="16"/>
      <c r="H233" s="14"/>
      <c r="I233" s="10" t="str">
        <f t="shared" si="4"/>
        <v/>
      </c>
      <c r="J233" s="11"/>
      <c r="P233" s="12" t="str">
        <f t="shared" si="3"/>
        <v/>
      </c>
    </row>
    <row r="234" ht="22.5" customHeight="1">
      <c r="A234" s="5">
        <f t="shared" si="1"/>
        <v>51</v>
      </c>
      <c r="B234" s="6" t="str">
        <f>IF(OR(WEEKDAY(D234)=1, WEEKDAY(D234)=7), TEXT(D234, "dddd"), IF(COUNTIF(Reference!$A$13:$A$27, D234) &gt; 0, "Holiday", TEXT(D234, "dddd")))</f>
        <v>Saturday</v>
      </c>
      <c r="C234" s="6" t="str">
        <f t="shared" si="2"/>
        <v>Saturday</v>
      </c>
      <c r="D234" s="6">
        <v>46375.0</v>
      </c>
      <c r="E234" s="7"/>
      <c r="F234" s="7"/>
      <c r="G234" s="16"/>
      <c r="H234" s="14"/>
      <c r="I234" s="10" t="str">
        <f t="shared" si="4"/>
        <v/>
      </c>
      <c r="J234" s="11"/>
      <c r="P234" s="12" t="str">
        <f t="shared" si="3"/>
        <v/>
      </c>
    </row>
    <row r="235" ht="22.5" customHeight="1">
      <c r="A235" s="5">
        <f t="shared" si="1"/>
        <v>51</v>
      </c>
      <c r="B235" s="6" t="str">
        <f>IF(OR(WEEKDAY(D235)=1, WEEKDAY(D235)=7), TEXT(D235, "dddd"), IF(COUNTIF(Reference!$A$13:$A$27, D235) &gt; 0, "Holiday", TEXT(D235, "dddd")))</f>
        <v>Sunday</v>
      </c>
      <c r="C235" s="6" t="str">
        <f t="shared" si="2"/>
        <v>Sunday</v>
      </c>
      <c r="D235" s="6">
        <v>46376.0</v>
      </c>
      <c r="E235" s="7"/>
      <c r="F235" s="7"/>
      <c r="G235" s="16"/>
      <c r="H235" s="14"/>
      <c r="I235" s="10" t="str">
        <f t="shared" si="4"/>
        <v/>
      </c>
      <c r="J235" s="11"/>
      <c r="P235" s="12" t="str">
        <f t="shared" si="3"/>
        <v/>
      </c>
    </row>
    <row r="236" ht="22.5" customHeight="1">
      <c r="A236" s="5">
        <f t="shared" si="1"/>
        <v>52</v>
      </c>
      <c r="B236" s="6" t="str">
        <f>IF(OR(WEEKDAY(D236)=1, WEEKDAY(D236)=7), TEXT(D236, "dddd"), IF(COUNTIF(Reference!$A$13:$A$27, D236) &gt; 0, "Holiday", TEXT(D236, "dddd")))</f>
        <v>Monday</v>
      </c>
      <c r="C236" s="6" t="str">
        <f t="shared" si="2"/>
        <v>Monday</v>
      </c>
      <c r="D236" s="6">
        <v>46377.0</v>
      </c>
      <c r="E236" s="7"/>
      <c r="F236" s="7"/>
      <c r="G236" s="16"/>
      <c r="H236" s="14"/>
      <c r="I236" s="10" t="str">
        <f t="shared" si="4"/>
        <v/>
      </c>
      <c r="J236" s="11"/>
      <c r="P236" s="12" t="str">
        <f t="shared" si="3"/>
        <v/>
      </c>
    </row>
    <row r="237" ht="22.5" customHeight="1">
      <c r="A237" s="5">
        <f t="shared" si="1"/>
        <v>52</v>
      </c>
      <c r="B237" s="6" t="str">
        <f>IF(OR(WEEKDAY(D237)=1, WEEKDAY(D237)=7), TEXT(D237, "dddd"), IF(COUNTIF(Reference!$A$13:$A$27, D237) &gt; 0, "Holiday", TEXT(D237, "dddd")))</f>
        <v>Tuesday</v>
      </c>
      <c r="C237" s="6" t="str">
        <f t="shared" si="2"/>
        <v>Tuesday</v>
      </c>
      <c r="D237" s="6">
        <v>46378.0</v>
      </c>
      <c r="E237" s="7"/>
      <c r="F237" s="7"/>
      <c r="G237" s="16"/>
      <c r="H237" s="14"/>
      <c r="I237" s="10" t="str">
        <f t="shared" si="4"/>
        <v/>
      </c>
      <c r="J237" s="11"/>
      <c r="P237" s="12" t="str">
        <f t="shared" si="3"/>
        <v/>
      </c>
    </row>
    <row r="238" ht="22.5" customHeight="1">
      <c r="A238" s="5">
        <f t="shared" si="1"/>
        <v>52</v>
      </c>
      <c r="B238" s="6" t="str">
        <f>IF(OR(WEEKDAY(D238)=1, WEEKDAY(D238)=7), TEXT(D238, "dddd"), IF(COUNTIF(Reference!$A$13:$A$27, D238) &gt; 0, "Holiday", TEXT(D238, "dddd")))</f>
        <v>Wednesday</v>
      </c>
      <c r="C238" s="6" t="str">
        <f t="shared" si="2"/>
        <v>Wednesday</v>
      </c>
      <c r="D238" s="6">
        <v>46379.0</v>
      </c>
      <c r="E238" s="7"/>
      <c r="F238" s="7"/>
      <c r="G238" s="16"/>
      <c r="H238" s="14"/>
      <c r="I238" s="10" t="str">
        <f t="shared" si="4"/>
        <v/>
      </c>
      <c r="J238" s="11"/>
      <c r="P238" s="12" t="str">
        <f t="shared" si="3"/>
        <v/>
      </c>
    </row>
    <row r="239" ht="22.5" customHeight="1">
      <c r="A239" s="5">
        <f t="shared" si="1"/>
        <v>52</v>
      </c>
      <c r="B239" s="6" t="str">
        <f>IF(OR(WEEKDAY(D239)=1, WEEKDAY(D239)=7), TEXT(D239, "dddd"), IF(COUNTIF(Reference!$A$13:$A$27, D239) &gt; 0, "Holiday", TEXT(D239, "dddd")))</f>
        <v>Holiday</v>
      </c>
      <c r="C239" s="6" t="str">
        <f t="shared" si="2"/>
        <v>Thursday</v>
      </c>
      <c r="D239" s="6">
        <v>46380.0</v>
      </c>
      <c r="E239" s="7"/>
      <c r="F239" s="7"/>
      <c r="G239" s="16"/>
      <c r="H239" s="14"/>
      <c r="I239" s="10" t="str">
        <f t="shared" si="4"/>
        <v/>
      </c>
      <c r="J239" s="11"/>
      <c r="P239" s="12" t="str">
        <f t="shared" si="3"/>
        <v/>
      </c>
    </row>
    <row r="240" ht="22.5" customHeight="1">
      <c r="A240" s="5">
        <f t="shared" si="1"/>
        <v>52</v>
      </c>
      <c r="B240" s="6" t="str">
        <f>IF(OR(WEEKDAY(D240)=1, WEEKDAY(D240)=7), TEXT(D240, "dddd"), IF(COUNTIF(Reference!$A$13:$A$27, D240) &gt; 0, "Holiday", TEXT(D240, "dddd")))</f>
        <v>Holiday</v>
      </c>
      <c r="C240" s="6" t="str">
        <f t="shared" si="2"/>
        <v>Friday</v>
      </c>
      <c r="D240" s="6">
        <v>46381.0</v>
      </c>
      <c r="E240" s="7"/>
      <c r="F240" s="7"/>
      <c r="G240" s="16"/>
      <c r="H240" s="14"/>
      <c r="I240" s="10" t="str">
        <f t="shared" si="4"/>
        <v/>
      </c>
      <c r="J240" s="11"/>
      <c r="P240" s="12" t="str">
        <f t="shared" si="3"/>
        <v/>
      </c>
    </row>
    <row r="241" ht="22.5" customHeight="1">
      <c r="A241" s="5">
        <f t="shared" si="1"/>
        <v>52</v>
      </c>
      <c r="B241" s="6" t="str">
        <f>IF(OR(WEEKDAY(D241)=1, WEEKDAY(D241)=7), TEXT(D241, "dddd"), IF(COUNTIF(Reference!$A$13:$A$27, D241) &gt; 0, "Holiday", TEXT(D241, "dddd")))</f>
        <v>Saturday</v>
      </c>
      <c r="C241" s="6" t="str">
        <f t="shared" si="2"/>
        <v>Saturday</v>
      </c>
      <c r="D241" s="6">
        <v>46382.0</v>
      </c>
      <c r="E241" s="7"/>
      <c r="F241" s="7"/>
      <c r="G241" s="16"/>
      <c r="H241" s="14"/>
      <c r="I241" s="10" t="str">
        <f t="shared" si="4"/>
        <v/>
      </c>
      <c r="J241" s="11"/>
      <c r="P241" s="12" t="str">
        <f t="shared" si="3"/>
        <v/>
      </c>
    </row>
    <row r="242" ht="22.5" customHeight="1">
      <c r="A242" s="5">
        <f t="shared" si="1"/>
        <v>52</v>
      </c>
      <c r="B242" s="6" t="str">
        <f>IF(OR(WEEKDAY(D242)=1, WEEKDAY(D242)=7), TEXT(D242, "dddd"), IF(COUNTIF(Reference!$A$13:$A$27, D242) &gt; 0, "Holiday", TEXT(D242, "dddd")))</f>
        <v>Sunday</v>
      </c>
      <c r="C242" s="6" t="str">
        <f t="shared" si="2"/>
        <v>Sunday</v>
      </c>
      <c r="D242" s="6">
        <v>46383.0</v>
      </c>
      <c r="E242" s="7"/>
      <c r="F242" s="7"/>
      <c r="G242" s="16"/>
      <c r="H242" s="14"/>
      <c r="I242" s="10" t="str">
        <f t="shared" si="4"/>
        <v/>
      </c>
      <c r="J242" s="11"/>
      <c r="P242" s="12" t="str">
        <f t="shared" si="3"/>
        <v/>
      </c>
    </row>
    <row r="243" ht="22.5" customHeight="1">
      <c r="A243" s="5">
        <f t="shared" si="1"/>
        <v>53</v>
      </c>
      <c r="B243" s="6" t="str">
        <f>IF(OR(WEEKDAY(D243)=1, WEEKDAY(D243)=7), TEXT(D243, "dddd"), IF(COUNTIF(Reference!$A$13:$A$27, D243) &gt; 0, "Holiday", TEXT(D243, "dddd")))</f>
        <v>Monday</v>
      </c>
      <c r="C243" s="6" t="str">
        <f t="shared" si="2"/>
        <v>Monday</v>
      </c>
      <c r="D243" s="6">
        <v>46384.0</v>
      </c>
      <c r="E243" s="7"/>
      <c r="F243" s="7"/>
      <c r="G243" s="16"/>
      <c r="H243" s="14"/>
      <c r="I243" s="10" t="str">
        <f t="shared" si="4"/>
        <v/>
      </c>
      <c r="J243" s="11"/>
      <c r="P243" s="12" t="str">
        <f t="shared" si="3"/>
        <v/>
      </c>
    </row>
    <row r="244" ht="22.5" customHeight="1">
      <c r="A244" s="5">
        <f t="shared" si="1"/>
        <v>53</v>
      </c>
      <c r="B244" s="6" t="str">
        <f>IF(OR(WEEKDAY(D244)=1, WEEKDAY(D244)=7), TEXT(D244, "dddd"), IF(COUNTIF(Reference!$A$13:$A$27, D244) &gt; 0, "Holiday", TEXT(D244, "dddd")))</f>
        <v>Tuesday</v>
      </c>
      <c r="C244" s="6" t="str">
        <f t="shared" si="2"/>
        <v>Tuesday</v>
      </c>
      <c r="D244" s="6">
        <v>46385.0</v>
      </c>
      <c r="E244" s="7"/>
      <c r="F244" s="7"/>
      <c r="G244" s="16"/>
      <c r="H244" s="14"/>
      <c r="I244" s="10" t="str">
        <f t="shared" si="4"/>
        <v/>
      </c>
      <c r="J244" s="11"/>
      <c r="P244" s="12" t="str">
        <f t="shared" si="3"/>
        <v/>
      </c>
    </row>
    <row r="245" ht="22.5" customHeight="1">
      <c r="A245" s="5">
        <f t="shared" si="1"/>
        <v>53</v>
      </c>
      <c r="B245" s="6" t="str">
        <f>IF(OR(WEEKDAY(D245)=1, WEEKDAY(D245)=7), TEXT(D245, "dddd"), IF(COUNTIF(Reference!$A$13:$A$27, D245) &gt; 0, "Holiday", TEXT(D245, "dddd")))</f>
        <v>Wednesday</v>
      </c>
      <c r="C245" s="6" t="str">
        <f t="shared" si="2"/>
        <v>Wednesday</v>
      </c>
      <c r="D245" s="6">
        <v>46386.0</v>
      </c>
      <c r="E245" s="7"/>
      <c r="F245" s="7"/>
      <c r="G245" s="16"/>
      <c r="H245" s="14"/>
      <c r="I245" s="10" t="str">
        <f t="shared" si="4"/>
        <v/>
      </c>
      <c r="J245" s="11"/>
      <c r="P245" s="12" t="str">
        <f t="shared" si="3"/>
        <v/>
      </c>
    </row>
    <row r="246" ht="22.5" customHeight="1">
      <c r="A246" s="5">
        <f t="shared" si="1"/>
        <v>53</v>
      </c>
      <c r="B246" s="6" t="str">
        <f>IF(OR(WEEKDAY(D246)=1, WEEKDAY(D246)=7), TEXT(D246, "dddd"), IF(COUNTIF(Reference!$A$13:$A$27, D246) &gt; 0, "Holiday", TEXT(D246, "dddd")))</f>
        <v>Holiday</v>
      </c>
      <c r="C246" s="6" t="str">
        <f t="shared" si="2"/>
        <v>Thursday</v>
      </c>
      <c r="D246" s="6">
        <v>46387.0</v>
      </c>
      <c r="E246" s="7"/>
      <c r="F246" s="7"/>
      <c r="G246" s="16"/>
      <c r="H246" s="14"/>
      <c r="I246" s="10" t="str">
        <f t="shared" si="4"/>
        <v/>
      </c>
      <c r="J246" s="11"/>
      <c r="P246" s="12" t="str">
        <f t="shared" si="3"/>
        <v/>
      </c>
    </row>
  </sheetData>
  <conditionalFormatting sqref="A2:J246">
    <cfRule type="expression" dxfId="5" priority="1">
      <formula>OR($B2="Sunday", $B2="Saturday", $B2="Holiday")</formula>
    </cfRule>
  </conditionalFormatting>
  <dataValidations>
    <dataValidation type="list" allowBlank="1" showErrorMessage="1" sqref="E2:E246">
      <formula1>#REF!</formula1>
    </dataValidation>
    <dataValidation type="list" allowBlank="1" showErrorMessage="1" sqref="F2:F246">
      <formula1>#REF!</formula1>
    </dataValidation>
    <dataValidation type="custom" allowBlank="1" showDropDown="1" sqref="D2:D246">
      <formula1>OR(NOT(ISERROR(DATEVALUE(D2))), AND(ISNUMBER(D2), LEFT(CELL("format", D2))="D"))</formula1>
    </dataValidation>
    <dataValidation type="custom" allowBlank="1" showDropDown="1" sqref="A2:A246 H2:H24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3.88"/>
    <col customWidth="1" min="3" max="3" width="17.0"/>
    <col customWidth="1" min="4" max="4" width="20.75"/>
    <col customWidth="1" min="7" max="7" width="13.38"/>
    <col customWidth="1" min="8" max="8" width="12.38"/>
    <col customWidth="1" min="9" max="9" width="23.5"/>
    <col customWidth="1" min="10" max="10" width="15.13"/>
  </cols>
  <sheetData>
    <row r="1">
      <c r="A1" s="29" t="s">
        <v>16</v>
      </c>
      <c r="B1" s="30" t="s">
        <v>11</v>
      </c>
      <c r="C1" s="30" t="s">
        <v>19</v>
      </c>
      <c r="D1" s="30" t="s">
        <v>21</v>
      </c>
      <c r="E1" s="31"/>
      <c r="F1" s="31"/>
      <c r="G1" s="31"/>
      <c r="H1" s="32"/>
      <c r="I1" s="33"/>
    </row>
    <row r="2">
      <c r="A2" s="34" t="s">
        <v>17</v>
      </c>
      <c r="B2" s="35" t="s">
        <v>46</v>
      </c>
      <c r="C2" s="35" t="s">
        <v>20</v>
      </c>
      <c r="D2" s="35" t="s">
        <v>22</v>
      </c>
      <c r="H2" s="36"/>
      <c r="I2" s="37"/>
    </row>
    <row r="3">
      <c r="A3" s="38" t="s">
        <v>18</v>
      </c>
      <c r="B3" s="35" t="s">
        <v>12</v>
      </c>
      <c r="D3" s="35" t="s">
        <v>24</v>
      </c>
      <c r="H3" s="36"/>
      <c r="I3" s="37"/>
    </row>
    <row r="4">
      <c r="A4" s="38"/>
      <c r="B4" s="35" t="s">
        <v>13</v>
      </c>
      <c r="D4" s="39" t="s">
        <v>25</v>
      </c>
      <c r="H4" s="36"/>
      <c r="I4" s="37"/>
    </row>
    <row r="5">
      <c r="A5" s="40"/>
      <c r="B5" s="35" t="s">
        <v>14</v>
      </c>
      <c r="D5" s="35" t="s">
        <v>26</v>
      </c>
      <c r="H5" s="36"/>
      <c r="I5" s="37"/>
    </row>
    <row r="6">
      <c r="A6" s="41"/>
      <c r="D6" s="35" t="s">
        <v>27</v>
      </c>
      <c r="H6" s="36"/>
      <c r="I6" s="37"/>
    </row>
    <row r="7">
      <c r="A7" s="41"/>
      <c r="H7" s="36"/>
      <c r="I7" s="37"/>
    </row>
    <row r="8">
      <c r="A8" s="41"/>
      <c r="H8" s="36"/>
      <c r="I8" s="37"/>
    </row>
    <row r="9">
      <c r="A9" s="41"/>
      <c r="H9" s="36"/>
      <c r="I9" s="37"/>
    </row>
    <row r="10">
      <c r="A10" s="42"/>
      <c r="B10" s="43"/>
      <c r="C10" s="43"/>
      <c r="D10" s="43"/>
      <c r="E10" s="43"/>
      <c r="F10" s="43"/>
      <c r="G10" s="43"/>
      <c r="H10" s="44"/>
      <c r="I10" s="45"/>
    </row>
    <row r="11">
      <c r="A11" s="36"/>
      <c r="H11" s="36"/>
    </row>
    <row r="12">
      <c r="A12" s="46" t="s">
        <v>48</v>
      </c>
      <c r="B12" s="31"/>
      <c r="C12" s="33"/>
      <c r="H12" s="36"/>
    </row>
    <row r="13">
      <c r="A13" s="47">
        <v>46023.0</v>
      </c>
      <c r="B13" s="35" t="s">
        <v>49</v>
      </c>
      <c r="C13" s="48" t="s">
        <v>50</v>
      </c>
      <c r="H13" s="36"/>
    </row>
    <row r="14">
      <c r="A14" s="47">
        <v>46028.0</v>
      </c>
      <c r="B14" s="35" t="s">
        <v>51</v>
      </c>
      <c r="C14" s="48" t="s">
        <v>52</v>
      </c>
      <c r="H14" s="36"/>
    </row>
    <row r="15">
      <c r="A15" s="47">
        <v>46115.0</v>
      </c>
      <c r="B15" s="35" t="s">
        <v>53</v>
      </c>
      <c r="C15" s="48" t="s">
        <v>54</v>
      </c>
      <c r="H15" s="36"/>
    </row>
    <row r="16">
      <c r="A16" s="47">
        <v>46118.0</v>
      </c>
      <c r="B16" s="35" t="s">
        <v>55</v>
      </c>
      <c r="C16" s="48" t="s">
        <v>56</v>
      </c>
      <c r="H16" s="36"/>
    </row>
    <row r="17">
      <c r="A17" s="47">
        <v>46143.0</v>
      </c>
      <c r="B17" s="35" t="s">
        <v>53</v>
      </c>
      <c r="C17" s="48" t="s">
        <v>57</v>
      </c>
      <c r="H17" s="49"/>
    </row>
    <row r="18">
      <c r="A18" s="47">
        <v>46156.0</v>
      </c>
      <c r="B18" s="35" t="s">
        <v>49</v>
      </c>
      <c r="C18" s="48" t="s">
        <v>58</v>
      </c>
      <c r="H18" s="49"/>
    </row>
    <row r="19">
      <c r="A19" s="47">
        <v>46167.0</v>
      </c>
      <c r="B19" s="35" t="s">
        <v>55</v>
      </c>
      <c r="C19" s="48" t="s">
        <v>59</v>
      </c>
      <c r="H19" s="49"/>
    </row>
    <row r="20">
      <c r="A20" s="47">
        <v>46177.0</v>
      </c>
      <c r="B20" s="35" t="s">
        <v>49</v>
      </c>
      <c r="C20" s="48" t="s">
        <v>60</v>
      </c>
      <c r="H20" s="49"/>
    </row>
    <row r="21">
      <c r="A21" s="47">
        <v>46249.0</v>
      </c>
      <c r="B21" s="35" t="s">
        <v>61</v>
      </c>
      <c r="C21" s="48" t="s">
        <v>62</v>
      </c>
      <c r="H21" s="49"/>
    </row>
    <row r="22">
      <c r="A22" s="47">
        <v>46298.0</v>
      </c>
      <c r="B22" s="35" t="s">
        <v>61</v>
      </c>
      <c r="C22" s="48" t="s">
        <v>63</v>
      </c>
      <c r="H22" s="49"/>
    </row>
    <row r="23">
      <c r="A23" s="47">
        <v>46327.0</v>
      </c>
      <c r="B23" s="35" t="s">
        <v>64</v>
      </c>
      <c r="C23" s="48" t="s">
        <v>65</v>
      </c>
      <c r="H23" s="49"/>
    </row>
    <row r="24">
      <c r="A24" s="47">
        <v>46380.0</v>
      </c>
      <c r="B24" s="35" t="s">
        <v>49</v>
      </c>
      <c r="C24" s="48" t="s">
        <v>66</v>
      </c>
      <c r="H24" s="49"/>
    </row>
    <row r="25">
      <c r="A25" s="47">
        <v>46381.0</v>
      </c>
      <c r="B25" s="35" t="s">
        <v>53</v>
      </c>
      <c r="C25" s="48" t="s">
        <v>67</v>
      </c>
      <c r="H25" s="49"/>
    </row>
    <row r="26">
      <c r="A26" s="47">
        <v>46382.0</v>
      </c>
      <c r="B26" s="35" t="s">
        <v>61</v>
      </c>
      <c r="C26" s="48" t="s">
        <v>68</v>
      </c>
      <c r="H26" s="49"/>
    </row>
    <row r="27">
      <c r="A27" s="47">
        <v>46387.0</v>
      </c>
      <c r="B27" s="35" t="s">
        <v>49</v>
      </c>
      <c r="C27" s="48" t="s">
        <v>69</v>
      </c>
      <c r="H27" s="49"/>
    </row>
    <row r="28">
      <c r="A28" s="50"/>
      <c r="B28" s="31"/>
      <c r="C28" s="31"/>
      <c r="H28" s="49"/>
    </row>
    <row r="29">
      <c r="A29" s="49"/>
      <c r="H29" s="49"/>
    </row>
    <row r="30">
      <c r="A30" s="49"/>
      <c r="H30" s="49"/>
    </row>
    <row r="31">
      <c r="A31" s="49"/>
      <c r="H31" s="49"/>
    </row>
    <row r="32">
      <c r="A32" s="49"/>
      <c r="H32" s="49"/>
    </row>
    <row r="33">
      <c r="A33" s="49"/>
      <c r="H33" s="49"/>
    </row>
    <row r="34">
      <c r="A34" s="49"/>
      <c r="H34" s="49"/>
    </row>
    <row r="35">
      <c r="A35" s="49"/>
      <c r="H35" s="49"/>
    </row>
    <row r="36">
      <c r="A36" s="49"/>
      <c r="H36" s="49"/>
    </row>
    <row r="37">
      <c r="A37" s="49"/>
      <c r="H37" s="49"/>
    </row>
    <row r="38">
      <c r="A38" s="49"/>
      <c r="H38" s="49"/>
    </row>
    <row r="39">
      <c r="A39" s="49"/>
      <c r="H39" s="49"/>
    </row>
    <row r="40">
      <c r="A40" s="49"/>
      <c r="H40" s="49"/>
    </row>
    <row r="41">
      <c r="A41" s="49"/>
      <c r="H41" s="49"/>
    </row>
    <row r="42">
      <c r="A42" s="49"/>
      <c r="H42" s="49"/>
    </row>
    <row r="43">
      <c r="A43" s="49"/>
      <c r="H43" s="49"/>
    </row>
    <row r="44">
      <c r="A44" s="49"/>
      <c r="H44" s="49"/>
    </row>
    <row r="45">
      <c r="A45" s="49"/>
      <c r="H45" s="49"/>
    </row>
    <row r="46">
      <c r="A46" s="49"/>
      <c r="H46" s="49"/>
    </row>
    <row r="47">
      <c r="A47" s="49"/>
      <c r="H47" s="49"/>
    </row>
    <row r="48">
      <c r="A48" s="49"/>
      <c r="H48" s="49"/>
    </row>
    <row r="49">
      <c r="A49" s="49"/>
      <c r="H49" s="49"/>
    </row>
    <row r="50">
      <c r="A50" s="49"/>
      <c r="H50" s="49"/>
    </row>
    <row r="51">
      <c r="A51" s="49"/>
      <c r="H51" s="49"/>
    </row>
    <row r="52">
      <c r="A52" s="49"/>
      <c r="H52" s="49"/>
    </row>
    <row r="53">
      <c r="A53" s="49"/>
      <c r="H53" s="49"/>
    </row>
    <row r="54">
      <c r="A54" s="49"/>
      <c r="H54" s="49"/>
    </row>
    <row r="55">
      <c r="A55" s="49"/>
      <c r="H55" s="49"/>
    </row>
    <row r="56">
      <c r="A56" s="49"/>
      <c r="H56" s="49"/>
    </row>
    <row r="57">
      <c r="A57" s="49"/>
      <c r="H57" s="49"/>
    </row>
    <row r="58">
      <c r="A58" s="49"/>
      <c r="H58" s="49"/>
    </row>
    <row r="59">
      <c r="A59" s="49"/>
      <c r="H59" s="49"/>
    </row>
    <row r="60">
      <c r="A60" s="49"/>
      <c r="H60" s="49"/>
    </row>
    <row r="61">
      <c r="A61" s="49"/>
      <c r="H61" s="49"/>
    </row>
    <row r="62">
      <c r="A62" s="49"/>
      <c r="H62" s="49"/>
    </row>
    <row r="63">
      <c r="A63" s="49"/>
      <c r="H63" s="49"/>
    </row>
    <row r="64">
      <c r="A64" s="49"/>
      <c r="H64" s="49"/>
    </row>
    <row r="65">
      <c r="A65" s="49"/>
      <c r="H65" s="49"/>
    </row>
    <row r="66">
      <c r="A66" s="49"/>
      <c r="H66" s="49"/>
    </row>
    <row r="67">
      <c r="A67" s="49"/>
      <c r="H67" s="49"/>
    </row>
    <row r="68">
      <c r="A68" s="49"/>
      <c r="H68" s="49"/>
    </row>
    <row r="69">
      <c r="A69" s="49"/>
      <c r="H69" s="49"/>
    </row>
    <row r="70">
      <c r="A70" s="49"/>
      <c r="H70" s="49"/>
    </row>
    <row r="71">
      <c r="A71" s="49"/>
      <c r="H71" s="49"/>
    </row>
    <row r="72">
      <c r="A72" s="49"/>
      <c r="H72" s="49"/>
    </row>
    <row r="73">
      <c r="A73" s="49"/>
      <c r="H73" s="49"/>
    </row>
    <row r="74">
      <c r="A74" s="49"/>
      <c r="H74" s="49"/>
    </row>
    <row r="75">
      <c r="A75" s="49"/>
      <c r="H75" s="49"/>
    </row>
    <row r="76">
      <c r="A76" s="49"/>
      <c r="H76" s="49"/>
    </row>
    <row r="77">
      <c r="A77" s="49"/>
      <c r="H77" s="49"/>
    </row>
    <row r="78">
      <c r="A78" s="49"/>
      <c r="H78" s="49"/>
    </row>
    <row r="79">
      <c r="A79" s="49"/>
      <c r="H79" s="49"/>
    </row>
    <row r="80">
      <c r="A80" s="49"/>
      <c r="H80" s="49"/>
    </row>
    <row r="81">
      <c r="A81" s="49"/>
      <c r="H81" s="49"/>
    </row>
    <row r="82">
      <c r="A82" s="49"/>
      <c r="H82" s="49"/>
    </row>
    <row r="83">
      <c r="A83" s="49"/>
      <c r="H83" s="49"/>
    </row>
    <row r="84">
      <c r="A84" s="49"/>
      <c r="H84" s="49"/>
    </row>
    <row r="85">
      <c r="A85" s="49"/>
      <c r="H85" s="49"/>
    </row>
    <row r="86">
      <c r="A86" s="49"/>
      <c r="H86" s="49"/>
    </row>
    <row r="87">
      <c r="A87" s="49"/>
      <c r="H87" s="49"/>
    </row>
    <row r="88">
      <c r="A88" s="49"/>
      <c r="H88" s="49"/>
    </row>
    <row r="89">
      <c r="A89" s="49"/>
      <c r="H89" s="49"/>
    </row>
    <row r="90">
      <c r="A90" s="49"/>
      <c r="H90" s="49"/>
    </row>
    <row r="91">
      <c r="A91" s="49"/>
      <c r="H91" s="49"/>
    </row>
    <row r="92">
      <c r="A92" s="49"/>
      <c r="H92" s="49"/>
    </row>
    <row r="93">
      <c r="A93" s="49"/>
      <c r="H93" s="49"/>
    </row>
    <row r="94">
      <c r="A94" s="49"/>
      <c r="H94" s="49"/>
    </row>
    <row r="95">
      <c r="A95" s="49"/>
      <c r="H95" s="49"/>
    </row>
    <row r="96">
      <c r="A96" s="49"/>
      <c r="H96" s="49"/>
    </row>
    <row r="97">
      <c r="A97" s="49"/>
      <c r="H97" s="49"/>
    </row>
    <row r="98">
      <c r="A98" s="49"/>
      <c r="H98" s="49"/>
    </row>
    <row r="99">
      <c r="A99" s="49"/>
      <c r="H99" s="49"/>
    </row>
    <row r="100">
      <c r="A100" s="49"/>
      <c r="H100" s="49"/>
    </row>
    <row r="101">
      <c r="A101" s="49"/>
      <c r="H101" s="49"/>
    </row>
    <row r="102">
      <c r="A102" s="49"/>
      <c r="H102" s="49"/>
    </row>
    <row r="103">
      <c r="A103" s="49"/>
      <c r="H103" s="49"/>
    </row>
    <row r="104">
      <c r="A104" s="49"/>
      <c r="H104" s="49"/>
    </row>
    <row r="105">
      <c r="A105" s="49"/>
      <c r="H105" s="49"/>
    </row>
    <row r="106">
      <c r="A106" s="49"/>
      <c r="H106" s="49"/>
    </row>
    <row r="107">
      <c r="A107" s="49"/>
      <c r="H107" s="49"/>
    </row>
    <row r="108">
      <c r="A108" s="49"/>
      <c r="H108" s="49"/>
    </row>
    <row r="109">
      <c r="A109" s="49"/>
      <c r="H109" s="49"/>
    </row>
    <row r="110">
      <c r="A110" s="49"/>
      <c r="H110" s="49"/>
    </row>
    <row r="111">
      <c r="A111" s="49"/>
      <c r="H111" s="49"/>
    </row>
    <row r="112">
      <c r="A112" s="49"/>
      <c r="H112" s="49"/>
    </row>
    <row r="113">
      <c r="A113" s="49"/>
      <c r="H113" s="49"/>
    </row>
    <row r="114">
      <c r="A114" s="49"/>
      <c r="H114" s="49"/>
    </row>
    <row r="115">
      <c r="A115" s="49"/>
      <c r="H115" s="49"/>
    </row>
    <row r="116">
      <c r="A116" s="49"/>
      <c r="H116" s="49"/>
    </row>
    <row r="117">
      <c r="A117" s="49"/>
      <c r="H117" s="49"/>
    </row>
    <row r="118">
      <c r="A118" s="49"/>
      <c r="H118" s="49"/>
    </row>
    <row r="119">
      <c r="A119" s="49"/>
      <c r="H119" s="49"/>
    </row>
    <row r="120">
      <c r="A120" s="49"/>
      <c r="H120" s="49"/>
    </row>
    <row r="121">
      <c r="A121" s="49"/>
      <c r="H121" s="49"/>
    </row>
    <row r="122">
      <c r="A122" s="49"/>
      <c r="H122" s="49"/>
    </row>
    <row r="123">
      <c r="A123" s="49"/>
      <c r="H123" s="49"/>
    </row>
    <row r="124">
      <c r="A124" s="49"/>
      <c r="H124" s="49"/>
    </row>
    <row r="125">
      <c r="A125" s="49"/>
      <c r="H125" s="49"/>
    </row>
    <row r="126">
      <c r="A126" s="49"/>
      <c r="H126" s="49"/>
    </row>
    <row r="127">
      <c r="A127" s="49"/>
      <c r="H127" s="49"/>
    </row>
    <row r="128">
      <c r="A128" s="49"/>
      <c r="H128" s="49"/>
    </row>
    <row r="129">
      <c r="A129" s="49"/>
      <c r="H129" s="49"/>
    </row>
    <row r="130">
      <c r="A130" s="49"/>
      <c r="H130" s="49"/>
    </row>
    <row r="131">
      <c r="A131" s="49"/>
      <c r="H131" s="49"/>
    </row>
    <row r="132">
      <c r="A132" s="49"/>
      <c r="H132" s="49"/>
    </row>
    <row r="133">
      <c r="A133" s="49"/>
      <c r="H133" s="49"/>
    </row>
    <row r="134">
      <c r="A134" s="49"/>
      <c r="H134" s="49"/>
    </row>
    <row r="135">
      <c r="A135" s="49"/>
      <c r="H135" s="49"/>
    </row>
    <row r="136">
      <c r="A136" s="49"/>
      <c r="H136" s="49"/>
    </row>
    <row r="137">
      <c r="A137" s="49"/>
      <c r="H137" s="49"/>
    </row>
    <row r="138">
      <c r="A138" s="49"/>
      <c r="H138" s="49"/>
    </row>
    <row r="139">
      <c r="A139" s="49"/>
      <c r="H139" s="49"/>
    </row>
    <row r="140">
      <c r="A140" s="49"/>
      <c r="H140" s="49"/>
    </row>
    <row r="141">
      <c r="A141" s="49"/>
      <c r="H141" s="49"/>
    </row>
    <row r="142">
      <c r="A142" s="49"/>
      <c r="H142" s="49"/>
    </row>
    <row r="143">
      <c r="A143" s="49"/>
      <c r="H143" s="49"/>
    </row>
    <row r="144">
      <c r="A144" s="49"/>
      <c r="H144" s="49"/>
    </row>
    <row r="145">
      <c r="A145" s="49"/>
      <c r="H145" s="49"/>
    </row>
    <row r="146">
      <c r="A146" s="49"/>
      <c r="H146" s="49"/>
    </row>
    <row r="147">
      <c r="A147" s="49"/>
      <c r="H147" s="49"/>
    </row>
    <row r="148">
      <c r="A148" s="49"/>
      <c r="H148" s="49"/>
    </row>
    <row r="149">
      <c r="A149" s="49"/>
      <c r="H149" s="49"/>
    </row>
    <row r="150">
      <c r="A150" s="49"/>
      <c r="H150" s="49"/>
    </row>
    <row r="151">
      <c r="A151" s="49"/>
      <c r="H151" s="49"/>
    </row>
    <row r="152">
      <c r="A152" s="49"/>
      <c r="H152" s="49"/>
    </row>
    <row r="153">
      <c r="A153" s="49"/>
      <c r="H153" s="49"/>
    </row>
    <row r="154">
      <c r="A154" s="49"/>
      <c r="H154" s="49"/>
    </row>
    <row r="155">
      <c r="A155" s="49"/>
      <c r="H155" s="49"/>
    </row>
    <row r="156">
      <c r="A156" s="49"/>
      <c r="H156" s="49"/>
    </row>
    <row r="157">
      <c r="A157" s="49"/>
      <c r="H157" s="49"/>
    </row>
    <row r="158">
      <c r="A158" s="49"/>
      <c r="H158" s="49"/>
    </row>
    <row r="159">
      <c r="A159" s="49"/>
      <c r="H159" s="49"/>
    </row>
    <row r="160">
      <c r="A160" s="49"/>
      <c r="H160" s="49"/>
    </row>
    <row r="161">
      <c r="A161" s="49"/>
      <c r="H161" s="49"/>
    </row>
    <row r="162">
      <c r="A162" s="49"/>
      <c r="H162" s="49"/>
    </row>
    <row r="163">
      <c r="A163" s="49"/>
      <c r="H163" s="49"/>
    </row>
    <row r="164">
      <c r="A164" s="49"/>
      <c r="H164" s="49"/>
    </row>
    <row r="165">
      <c r="A165" s="49"/>
      <c r="H165" s="49"/>
    </row>
    <row r="166">
      <c r="A166" s="49"/>
      <c r="H166" s="49"/>
    </row>
    <row r="167">
      <c r="A167" s="49"/>
      <c r="H167" s="49"/>
    </row>
    <row r="168">
      <c r="A168" s="49"/>
      <c r="H168" s="49"/>
    </row>
    <row r="169">
      <c r="A169" s="49"/>
      <c r="H169" s="49"/>
    </row>
    <row r="170">
      <c r="A170" s="49"/>
      <c r="H170" s="49"/>
    </row>
    <row r="171">
      <c r="A171" s="49"/>
      <c r="H171" s="49"/>
    </row>
    <row r="172">
      <c r="A172" s="49"/>
      <c r="H172" s="49"/>
    </row>
    <row r="173">
      <c r="A173" s="49"/>
      <c r="H173" s="49"/>
    </row>
    <row r="174">
      <c r="A174" s="49"/>
      <c r="H174" s="49"/>
    </row>
    <row r="175">
      <c r="A175" s="49"/>
      <c r="H175" s="49"/>
    </row>
    <row r="176">
      <c r="A176" s="49"/>
      <c r="H176" s="49"/>
    </row>
    <row r="177">
      <c r="A177" s="49"/>
      <c r="H177" s="49"/>
    </row>
    <row r="178">
      <c r="A178" s="49"/>
      <c r="H178" s="49"/>
    </row>
    <row r="179">
      <c r="A179" s="49"/>
      <c r="H179" s="49"/>
    </row>
    <row r="180">
      <c r="A180" s="49"/>
      <c r="H180" s="49"/>
    </row>
    <row r="181">
      <c r="A181" s="49"/>
      <c r="H181" s="49"/>
    </row>
    <row r="182">
      <c r="A182" s="49"/>
      <c r="H182" s="49"/>
    </row>
    <row r="183">
      <c r="A183" s="49"/>
      <c r="H183" s="49"/>
    </row>
    <row r="184">
      <c r="A184" s="49"/>
      <c r="H184" s="49"/>
    </row>
    <row r="185">
      <c r="A185" s="49"/>
      <c r="H185" s="49"/>
    </row>
    <row r="186">
      <c r="A186" s="49"/>
      <c r="H186" s="49"/>
    </row>
    <row r="187">
      <c r="A187" s="49"/>
      <c r="H187" s="49"/>
    </row>
    <row r="188">
      <c r="A188" s="49"/>
      <c r="H188" s="49"/>
    </row>
    <row r="189">
      <c r="A189" s="49"/>
      <c r="H189" s="49"/>
    </row>
    <row r="190">
      <c r="A190" s="49"/>
      <c r="H190" s="49"/>
    </row>
    <row r="191">
      <c r="A191" s="49"/>
      <c r="H191" s="49"/>
    </row>
    <row r="192">
      <c r="A192" s="49"/>
      <c r="H192" s="49"/>
    </row>
    <row r="193">
      <c r="A193" s="49"/>
      <c r="H193" s="49"/>
    </row>
    <row r="194">
      <c r="A194" s="49"/>
      <c r="H194" s="49"/>
    </row>
    <row r="195">
      <c r="A195" s="49"/>
      <c r="H195" s="49"/>
    </row>
    <row r="196">
      <c r="A196" s="49"/>
      <c r="H196" s="49"/>
    </row>
    <row r="197">
      <c r="A197" s="49"/>
      <c r="H197" s="49"/>
    </row>
    <row r="198">
      <c r="A198" s="49"/>
      <c r="H198" s="49"/>
    </row>
    <row r="199">
      <c r="A199" s="49"/>
      <c r="H199" s="49"/>
    </row>
    <row r="200">
      <c r="A200" s="49"/>
      <c r="H200" s="49"/>
    </row>
    <row r="201">
      <c r="A201" s="49"/>
      <c r="H201" s="49"/>
    </row>
    <row r="202">
      <c r="A202" s="49"/>
      <c r="H202" s="49"/>
    </row>
    <row r="203">
      <c r="A203" s="49"/>
      <c r="H203" s="49"/>
    </row>
    <row r="204">
      <c r="A204" s="49"/>
      <c r="H204" s="49"/>
    </row>
    <row r="205">
      <c r="A205" s="49"/>
      <c r="H205" s="49"/>
    </row>
    <row r="206">
      <c r="A206" s="49"/>
      <c r="H206" s="49"/>
    </row>
    <row r="207">
      <c r="A207" s="49"/>
      <c r="H207" s="49"/>
    </row>
    <row r="208">
      <c r="A208" s="49"/>
      <c r="H208" s="49"/>
    </row>
    <row r="209">
      <c r="A209" s="49"/>
      <c r="H209" s="49"/>
    </row>
    <row r="210">
      <c r="A210" s="49"/>
      <c r="H210" s="49"/>
    </row>
    <row r="211">
      <c r="A211" s="49"/>
      <c r="H211" s="49"/>
    </row>
    <row r="212">
      <c r="A212" s="49"/>
      <c r="H212" s="49"/>
    </row>
    <row r="213">
      <c r="A213" s="49"/>
      <c r="H213" s="49"/>
    </row>
    <row r="214">
      <c r="A214" s="49"/>
      <c r="H214" s="49"/>
    </row>
    <row r="215">
      <c r="A215" s="49"/>
      <c r="H215" s="49"/>
    </row>
    <row r="216">
      <c r="A216" s="49"/>
      <c r="H216" s="49"/>
    </row>
    <row r="217">
      <c r="A217" s="49"/>
      <c r="H217" s="49"/>
    </row>
    <row r="218">
      <c r="A218" s="49"/>
      <c r="H218" s="49"/>
    </row>
    <row r="219">
      <c r="A219" s="49"/>
      <c r="H219" s="49"/>
    </row>
    <row r="220">
      <c r="A220" s="49"/>
      <c r="H220" s="49"/>
    </row>
    <row r="221">
      <c r="A221" s="49"/>
      <c r="H221" s="49"/>
    </row>
    <row r="222">
      <c r="A222" s="49"/>
      <c r="H222" s="49"/>
    </row>
    <row r="223">
      <c r="A223" s="49"/>
      <c r="H223" s="49"/>
    </row>
    <row r="224">
      <c r="A224" s="49"/>
      <c r="H224" s="49"/>
    </row>
    <row r="225">
      <c r="A225" s="49"/>
      <c r="H225" s="49"/>
    </row>
    <row r="226">
      <c r="A226" s="49"/>
      <c r="H226" s="49"/>
    </row>
    <row r="227">
      <c r="A227" s="49"/>
      <c r="H227" s="49"/>
    </row>
    <row r="228">
      <c r="A228" s="49"/>
      <c r="H228" s="49"/>
    </row>
    <row r="229">
      <c r="A229" s="49"/>
      <c r="H229" s="49"/>
    </row>
    <row r="230">
      <c r="A230" s="49"/>
      <c r="H230" s="49"/>
    </row>
    <row r="231">
      <c r="A231" s="49"/>
      <c r="H231" s="49"/>
    </row>
    <row r="232">
      <c r="A232" s="49"/>
      <c r="H232" s="49"/>
    </row>
    <row r="233">
      <c r="A233" s="49"/>
      <c r="H233" s="49"/>
    </row>
    <row r="234">
      <c r="A234" s="49"/>
      <c r="H234" s="49"/>
    </row>
    <row r="235">
      <c r="A235" s="49"/>
      <c r="H235" s="49"/>
    </row>
    <row r="236">
      <c r="A236" s="49"/>
      <c r="H236" s="49"/>
    </row>
    <row r="237">
      <c r="A237" s="49"/>
      <c r="H237" s="49"/>
    </row>
    <row r="238">
      <c r="A238" s="49"/>
      <c r="H238" s="49"/>
    </row>
    <row r="239">
      <c r="A239" s="49"/>
      <c r="H239" s="49"/>
    </row>
    <row r="240">
      <c r="A240" s="49"/>
      <c r="H240" s="49"/>
    </row>
    <row r="241">
      <c r="A241" s="49"/>
      <c r="H241" s="49"/>
    </row>
    <row r="242">
      <c r="A242" s="49"/>
      <c r="H242" s="49"/>
    </row>
    <row r="243">
      <c r="A243" s="49"/>
      <c r="H243" s="49"/>
    </row>
    <row r="244">
      <c r="A244" s="49"/>
      <c r="H244" s="49"/>
    </row>
    <row r="245">
      <c r="A245" s="49"/>
      <c r="H245" s="49"/>
    </row>
    <row r="246">
      <c r="A246" s="49"/>
      <c r="H246" s="49"/>
    </row>
    <row r="247">
      <c r="A247" s="49"/>
      <c r="H247" s="49"/>
    </row>
    <row r="248">
      <c r="A248" s="49"/>
      <c r="H248" s="49"/>
    </row>
    <row r="249">
      <c r="A249" s="49"/>
      <c r="H249" s="49"/>
    </row>
    <row r="250">
      <c r="A250" s="49"/>
      <c r="H250" s="49"/>
    </row>
    <row r="251">
      <c r="A251" s="49"/>
      <c r="H251" s="49"/>
    </row>
    <row r="252">
      <c r="A252" s="49"/>
      <c r="H252" s="49"/>
    </row>
    <row r="253">
      <c r="A253" s="49"/>
      <c r="H253" s="49"/>
    </row>
    <row r="254">
      <c r="A254" s="49"/>
      <c r="H254" s="49"/>
    </row>
    <row r="255">
      <c r="A255" s="49"/>
      <c r="H255" s="49"/>
    </row>
    <row r="256">
      <c r="A256" s="49"/>
      <c r="H256" s="49"/>
    </row>
    <row r="257">
      <c r="A257" s="49"/>
      <c r="H257" s="49"/>
    </row>
    <row r="258">
      <c r="A258" s="49"/>
      <c r="H258" s="49"/>
    </row>
    <row r="259">
      <c r="A259" s="49"/>
      <c r="H259" s="49"/>
    </row>
    <row r="260">
      <c r="A260" s="49"/>
      <c r="H260" s="49"/>
    </row>
    <row r="261">
      <c r="A261" s="49"/>
      <c r="H261" s="49"/>
    </row>
    <row r="262">
      <c r="A262" s="49"/>
      <c r="H262" s="49"/>
    </row>
    <row r="263">
      <c r="A263" s="49"/>
      <c r="H263" s="49"/>
    </row>
    <row r="264">
      <c r="A264" s="49"/>
      <c r="H264" s="49"/>
    </row>
    <row r="265">
      <c r="A265" s="49"/>
      <c r="H265" s="49"/>
    </row>
    <row r="266">
      <c r="A266" s="49"/>
      <c r="H266" s="49"/>
    </row>
    <row r="267">
      <c r="A267" s="49"/>
      <c r="H267" s="49"/>
    </row>
    <row r="268">
      <c r="A268" s="49"/>
      <c r="H268" s="49"/>
    </row>
    <row r="269">
      <c r="A269" s="49"/>
      <c r="H269" s="49"/>
    </row>
    <row r="270">
      <c r="A270" s="49"/>
      <c r="H270" s="49"/>
    </row>
    <row r="271">
      <c r="A271" s="49"/>
      <c r="H271" s="49"/>
    </row>
    <row r="272">
      <c r="A272" s="49"/>
      <c r="H272" s="49"/>
    </row>
    <row r="273">
      <c r="A273" s="49"/>
      <c r="H273" s="49"/>
    </row>
    <row r="274">
      <c r="A274" s="49"/>
      <c r="H274" s="49"/>
    </row>
    <row r="275">
      <c r="A275" s="49"/>
      <c r="H275" s="49"/>
    </row>
    <row r="276">
      <c r="A276" s="49"/>
      <c r="H276" s="49"/>
    </row>
    <row r="277">
      <c r="A277" s="49"/>
      <c r="H277" s="49"/>
    </row>
    <row r="278">
      <c r="A278" s="49"/>
      <c r="H278" s="49"/>
    </row>
    <row r="279">
      <c r="A279" s="49"/>
      <c r="H279" s="49"/>
    </row>
    <row r="280">
      <c r="A280" s="49"/>
      <c r="H280" s="49"/>
    </row>
    <row r="281">
      <c r="A281" s="49"/>
      <c r="H281" s="49"/>
    </row>
    <row r="282">
      <c r="A282" s="49"/>
      <c r="H282" s="49"/>
    </row>
    <row r="283">
      <c r="A283" s="49"/>
      <c r="H283" s="49"/>
    </row>
    <row r="284">
      <c r="A284" s="49"/>
      <c r="H284" s="49"/>
    </row>
    <row r="285">
      <c r="A285" s="49"/>
      <c r="H285" s="49"/>
    </row>
    <row r="286">
      <c r="A286" s="49"/>
      <c r="H286" s="49"/>
    </row>
    <row r="287">
      <c r="A287" s="49"/>
      <c r="H287" s="49"/>
    </row>
    <row r="288">
      <c r="A288" s="49"/>
      <c r="H288" s="49"/>
    </row>
    <row r="289">
      <c r="A289" s="49"/>
      <c r="H289" s="49"/>
    </row>
    <row r="290">
      <c r="A290" s="49"/>
      <c r="H290" s="49"/>
    </row>
    <row r="291">
      <c r="A291" s="49"/>
      <c r="H291" s="49"/>
    </row>
    <row r="292">
      <c r="A292" s="49"/>
      <c r="H292" s="49"/>
    </row>
    <row r="293">
      <c r="A293" s="49"/>
      <c r="H293" s="49"/>
    </row>
    <row r="294">
      <c r="A294" s="49"/>
      <c r="H294" s="49"/>
    </row>
    <row r="295">
      <c r="A295" s="49"/>
      <c r="H295" s="49"/>
    </row>
    <row r="296">
      <c r="A296" s="49"/>
      <c r="H296" s="49"/>
    </row>
    <row r="297">
      <c r="A297" s="49"/>
      <c r="H297" s="49"/>
    </row>
    <row r="298">
      <c r="A298" s="49"/>
      <c r="H298" s="49"/>
    </row>
    <row r="299">
      <c r="A299" s="49"/>
      <c r="H299" s="49"/>
    </row>
    <row r="300">
      <c r="A300" s="49"/>
      <c r="H300" s="49"/>
    </row>
    <row r="301">
      <c r="A301" s="49"/>
      <c r="H301" s="49"/>
    </row>
    <row r="302">
      <c r="A302" s="49"/>
      <c r="H302" s="49"/>
    </row>
    <row r="303">
      <c r="A303" s="49"/>
      <c r="H303" s="49"/>
    </row>
    <row r="304">
      <c r="A304" s="49"/>
      <c r="H304" s="49"/>
    </row>
    <row r="305">
      <c r="A305" s="49"/>
      <c r="H305" s="49"/>
    </row>
    <row r="306">
      <c r="A306" s="49"/>
      <c r="H306" s="49"/>
    </row>
    <row r="307">
      <c r="A307" s="49"/>
      <c r="H307" s="49"/>
    </row>
    <row r="308">
      <c r="A308" s="49"/>
      <c r="H308" s="49"/>
    </row>
    <row r="309">
      <c r="A309" s="49"/>
      <c r="H309" s="49"/>
    </row>
    <row r="310">
      <c r="A310" s="49"/>
      <c r="H310" s="49"/>
    </row>
    <row r="311">
      <c r="A311" s="49"/>
      <c r="H311" s="49"/>
    </row>
    <row r="312">
      <c r="A312" s="49"/>
      <c r="H312" s="49"/>
    </row>
    <row r="313">
      <c r="A313" s="49"/>
      <c r="H313" s="49"/>
    </row>
    <row r="314">
      <c r="A314" s="49"/>
      <c r="H314" s="49"/>
    </row>
    <row r="315">
      <c r="A315" s="49"/>
      <c r="H315" s="49"/>
    </row>
    <row r="316">
      <c r="A316" s="49"/>
      <c r="H316" s="49"/>
    </row>
    <row r="317">
      <c r="A317" s="49"/>
      <c r="H317" s="49"/>
    </row>
    <row r="318">
      <c r="A318" s="49"/>
      <c r="H318" s="49"/>
    </row>
    <row r="319">
      <c r="A319" s="49"/>
      <c r="H319" s="49"/>
    </row>
    <row r="320">
      <c r="A320" s="49"/>
      <c r="H320" s="49"/>
    </row>
    <row r="321">
      <c r="A321" s="49"/>
      <c r="H321" s="49"/>
    </row>
    <row r="322">
      <c r="A322" s="49"/>
      <c r="H322" s="49"/>
    </row>
    <row r="323">
      <c r="A323" s="49"/>
      <c r="H323" s="49"/>
    </row>
    <row r="324">
      <c r="A324" s="49"/>
      <c r="H324" s="49"/>
    </row>
    <row r="325">
      <c r="A325" s="49"/>
      <c r="H325" s="49"/>
    </row>
    <row r="326">
      <c r="A326" s="49"/>
      <c r="H326" s="49"/>
    </row>
    <row r="327">
      <c r="A327" s="49"/>
      <c r="H327" s="49"/>
    </row>
    <row r="328">
      <c r="A328" s="49"/>
      <c r="H328" s="49"/>
    </row>
    <row r="329">
      <c r="A329" s="49"/>
      <c r="H329" s="49"/>
    </row>
    <row r="330">
      <c r="A330" s="49"/>
      <c r="H330" s="49"/>
    </row>
    <row r="331">
      <c r="A331" s="49"/>
      <c r="H331" s="49"/>
    </row>
    <row r="332">
      <c r="A332" s="49"/>
      <c r="H332" s="49"/>
    </row>
    <row r="333">
      <c r="A333" s="49"/>
      <c r="H333" s="49"/>
    </row>
    <row r="334">
      <c r="A334" s="49"/>
      <c r="H334" s="49"/>
    </row>
    <row r="335">
      <c r="A335" s="49"/>
      <c r="H335" s="49"/>
    </row>
    <row r="336">
      <c r="A336" s="49"/>
      <c r="H336" s="49"/>
    </row>
    <row r="337">
      <c r="A337" s="49"/>
      <c r="H337" s="49"/>
    </row>
    <row r="338">
      <c r="A338" s="49"/>
      <c r="H338" s="49"/>
    </row>
    <row r="339">
      <c r="A339" s="49"/>
      <c r="H339" s="49"/>
    </row>
    <row r="340">
      <c r="A340" s="49"/>
      <c r="H340" s="49"/>
    </row>
    <row r="341">
      <c r="A341" s="49"/>
      <c r="H341" s="49"/>
    </row>
    <row r="342">
      <c r="A342" s="49"/>
      <c r="H342" s="49"/>
    </row>
    <row r="343">
      <c r="A343" s="49"/>
      <c r="H343" s="49"/>
    </row>
    <row r="344">
      <c r="A344" s="49"/>
      <c r="H344" s="49"/>
    </row>
    <row r="345">
      <c r="A345" s="49"/>
      <c r="H345" s="49"/>
    </row>
    <row r="346">
      <c r="A346" s="49"/>
      <c r="H346" s="49"/>
    </row>
    <row r="347">
      <c r="A347" s="49"/>
      <c r="H347" s="49"/>
    </row>
    <row r="348">
      <c r="A348" s="49"/>
      <c r="H348" s="49"/>
    </row>
    <row r="349">
      <c r="A349" s="49"/>
      <c r="H349" s="49"/>
    </row>
    <row r="350">
      <c r="A350" s="49"/>
      <c r="H350" s="49"/>
    </row>
    <row r="351">
      <c r="A351" s="49"/>
      <c r="H351" s="49"/>
    </row>
    <row r="352">
      <c r="A352" s="49"/>
      <c r="H352" s="49"/>
    </row>
    <row r="353">
      <c r="A353" s="49"/>
      <c r="H353" s="49"/>
    </row>
    <row r="354">
      <c r="A354" s="49"/>
      <c r="H354" s="49"/>
    </row>
    <row r="355">
      <c r="A355" s="49"/>
      <c r="H355" s="49"/>
    </row>
    <row r="356">
      <c r="A356" s="49"/>
      <c r="H356" s="49"/>
    </row>
    <row r="357">
      <c r="A357" s="49"/>
      <c r="H357" s="49"/>
    </row>
    <row r="358">
      <c r="A358" s="49"/>
      <c r="H358" s="49"/>
    </row>
    <row r="359">
      <c r="A359" s="49"/>
      <c r="H359" s="49"/>
    </row>
    <row r="360">
      <c r="A360" s="49"/>
      <c r="H360" s="49"/>
    </row>
    <row r="361">
      <c r="A361" s="49"/>
      <c r="H361" s="49"/>
    </row>
    <row r="362">
      <c r="A362" s="49"/>
      <c r="H362" s="49"/>
    </row>
    <row r="363">
      <c r="A363" s="49"/>
      <c r="H363" s="49"/>
    </row>
    <row r="364">
      <c r="A364" s="49"/>
      <c r="H364" s="49"/>
    </row>
    <row r="365">
      <c r="A365" s="49"/>
      <c r="H365" s="49"/>
    </row>
    <row r="366">
      <c r="A366" s="49"/>
      <c r="H366" s="49"/>
    </row>
    <row r="367">
      <c r="A367" s="49"/>
      <c r="H367" s="49"/>
    </row>
    <row r="368">
      <c r="A368" s="49"/>
      <c r="H368" s="49"/>
    </row>
    <row r="369">
      <c r="A369" s="49"/>
      <c r="H369" s="49"/>
    </row>
    <row r="370">
      <c r="A370" s="49"/>
      <c r="H370" s="49"/>
    </row>
    <row r="371">
      <c r="A371" s="49"/>
      <c r="H371" s="49"/>
    </row>
    <row r="372">
      <c r="A372" s="49"/>
      <c r="H372" s="49"/>
    </row>
    <row r="373">
      <c r="A373" s="49"/>
      <c r="H373" s="49"/>
    </row>
    <row r="374">
      <c r="A374" s="49"/>
      <c r="H374" s="49"/>
    </row>
    <row r="375">
      <c r="A375" s="49"/>
      <c r="H375" s="49"/>
    </row>
    <row r="376">
      <c r="A376" s="49"/>
      <c r="H376" s="49"/>
    </row>
    <row r="377">
      <c r="A377" s="49"/>
      <c r="H377" s="49"/>
    </row>
    <row r="378">
      <c r="A378" s="49"/>
      <c r="H378" s="49"/>
    </row>
    <row r="379">
      <c r="A379" s="49"/>
      <c r="H379" s="49"/>
    </row>
    <row r="380">
      <c r="A380" s="49"/>
      <c r="H380" s="49"/>
    </row>
    <row r="381">
      <c r="A381" s="49"/>
      <c r="H381" s="49"/>
    </row>
    <row r="382">
      <c r="A382" s="49"/>
      <c r="H382" s="49"/>
    </row>
    <row r="383">
      <c r="A383" s="49"/>
      <c r="H383" s="49"/>
    </row>
    <row r="384">
      <c r="A384" s="49"/>
      <c r="H384" s="49"/>
    </row>
    <row r="385">
      <c r="A385" s="49"/>
      <c r="H385" s="49"/>
    </row>
    <row r="386">
      <c r="A386" s="49"/>
      <c r="H386" s="49"/>
    </row>
    <row r="387">
      <c r="A387" s="49"/>
      <c r="H387" s="49"/>
    </row>
    <row r="388">
      <c r="A388" s="49"/>
      <c r="H388" s="49"/>
    </row>
    <row r="389">
      <c r="A389" s="49"/>
      <c r="H389" s="49"/>
    </row>
    <row r="390">
      <c r="A390" s="49"/>
      <c r="H390" s="49"/>
    </row>
    <row r="391">
      <c r="A391" s="49"/>
      <c r="H391" s="49"/>
    </row>
    <row r="392">
      <c r="A392" s="49"/>
      <c r="H392" s="49"/>
    </row>
    <row r="393">
      <c r="A393" s="49"/>
      <c r="H393" s="49"/>
    </row>
    <row r="394">
      <c r="A394" s="49"/>
      <c r="H394" s="49"/>
    </row>
    <row r="395">
      <c r="A395" s="49"/>
      <c r="H395" s="49"/>
    </row>
    <row r="396">
      <c r="A396" s="49"/>
      <c r="H396" s="49"/>
    </row>
    <row r="397">
      <c r="A397" s="49"/>
      <c r="H397" s="49"/>
    </row>
    <row r="398">
      <c r="A398" s="49"/>
      <c r="H398" s="49"/>
    </row>
    <row r="399">
      <c r="A399" s="49"/>
      <c r="H399" s="49"/>
    </row>
    <row r="400">
      <c r="A400" s="49"/>
      <c r="H400" s="49"/>
    </row>
    <row r="401">
      <c r="A401" s="49"/>
      <c r="H401" s="49"/>
    </row>
    <row r="402">
      <c r="A402" s="49"/>
      <c r="H402" s="49"/>
    </row>
    <row r="403">
      <c r="A403" s="49"/>
      <c r="H403" s="49"/>
    </row>
    <row r="404">
      <c r="A404" s="49"/>
      <c r="H404" s="49"/>
    </row>
    <row r="405">
      <c r="A405" s="49"/>
      <c r="H405" s="49"/>
    </row>
    <row r="406">
      <c r="A406" s="49"/>
      <c r="H406" s="49"/>
    </row>
    <row r="407">
      <c r="A407" s="49"/>
      <c r="H407" s="49"/>
    </row>
    <row r="408">
      <c r="A408" s="49"/>
      <c r="H408" s="49"/>
    </row>
    <row r="409">
      <c r="A409" s="49"/>
      <c r="H409" s="49"/>
    </row>
    <row r="410">
      <c r="A410" s="49"/>
      <c r="H410" s="49"/>
    </row>
    <row r="411">
      <c r="A411" s="49"/>
      <c r="H411" s="49"/>
    </row>
    <row r="412">
      <c r="A412" s="49"/>
      <c r="H412" s="49"/>
    </row>
    <row r="413">
      <c r="A413" s="49"/>
      <c r="H413" s="49"/>
    </row>
    <row r="414">
      <c r="A414" s="49"/>
      <c r="H414" s="49"/>
    </row>
    <row r="415">
      <c r="A415" s="49"/>
      <c r="H415" s="49"/>
    </row>
    <row r="416">
      <c r="A416" s="49"/>
      <c r="H416" s="49"/>
    </row>
    <row r="417">
      <c r="A417" s="49"/>
      <c r="H417" s="49"/>
    </row>
    <row r="418">
      <c r="A418" s="49"/>
      <c r="H418" s="49"/>
    </row>
    <row r="419">
      <c r="A419" s="49"/>
      <c r="H419" s="49"/>
    </row>
    <row r="420">
      <c r="A420" s="49"/>
      <c r="H420" s="49"/>
    </row>
    <row r="421">
      <c r="A421" s="49"/>
      <c r="H421" s="49"/>
    </row>
    <row r="422">
      <c r="A422" s="49"/>
      <c r="H422" s="49"/>
    </row>
    <row r="423">
      <c r="A423" s="49"/>
      <c r="H423" s="49"/>
    </row>
    <row r="424">
      <c r="A424" s="49"/>
      <c r="H424" s="49"/>
    </row>
    <row r="425">
      <c r="A425" s="49"/>
      <c r="H425" s="49"/>
    </row>
    <row r="426">
      <c r="A426" s="49"/>
      <c r="H426" s="49"/>
    </row>
    <row r="427">
      <c r="A427" s="49"/>
      <c r="H427" s="49"/>
    </row>
    <row r="428">
      <c r="A428" s="49"/>
      <c r="H428" s="49"/>
    </row>
    <row r="429">
      <c r="A429" s="49"/>
      <c r="H429" s="49"/>
    </row>
    <row r="430">
      <c r="A430" s="49"/>
      <c r="H430" s="49"/>
    </row>
    <row r="431">
      <c r="A431" s="49"/>
      <c r="H431" s="49"/>
    </row>
    <row r="432">
      <c r="A432" s="49"/>
      <c r="H432" s="49"/>
    </row>
    <row r="433">
      <c r="A433" s="49"/>
      <c r="H433" s="49"/>
    </row>
    <row r="434">
      <c r="A434" s="49"/>
      <c r="H434" s="49"/>
    </row>
    <row r="435">
      <c r="A435" s="49"/>
      <c r="H435" s="49"/>
    </row>
    <row r="436">
      <c r="A436" s="49"/>
      <c r="H436" s="49"/>
    </row>
    <row r="437">
      <c r="A437" s="49"/>
      <c r="H437" s="49"/>
    </row>
    <row r="438">
      <c r="A438" s="49"/>
      <c r="H438" s="49"/>
    </row>
    <row r="439">
      <c r="A439" s="49"/>
      <c r="H439" s="49"/>
    </row>
    <row r="440">
      <c r="A440" s="49"/>
      <c r="H440" s="49"/>
    </row>
    <row r="441">
      <c r="A441" s="49"/>
      <c r="H441" s="49"/>
    </row>
    <row r="442">
      <c r="A442" s="49"/>
      <c r="H442" s="49"/>
    </row>
    <row r="443">
      <c r="A443" s="49"/>
      <c r="H443" s="49"/>
    </row>
    <row r="444">
      <c r="A444" s="49"/>
      <c r="H444" s="49"/>
    </row>
    <row r="445">
      <c r="A445" s="49"/>
      <c r="H445" s="49"/>
    </row>
    <row r="446">
      <c r="A446" s="49"/>
      <c r="H446" s="49"/>
    </row>
    <row r="447">
      <c r="A447" s="49"/>
      <c r="H447" s="49"/>
    </row>
    <row r="448">
      <c r="A448" s="49"/>
      <c r="H448" s="49"/>
    </row>
    <row r="449">
      <c r="A449" s="49"/>
      <c r="H449" s="49"/>
    </row>
    <row r="450">
      <c r="A450" s="49"/>
      <c r="H450" s="49"/>
    </row>
    <row r="451">
      <c r="A451" s="49"/>
      <c r="H451" s="49"/>
    </row>
    <row r="452">
      <c r="A452" s="49"/>
      <c r="H452" s="49"/>
    </row>
    <row r="453">
      <c r="A453" s="49"/>
      <c r="H453" s="49"/>
    </row>
    <row r="454">
      <c r="A454" s="49"/>
      <c r="H454" s="49"/>
    </row>
    <row r="455">
      <c r="A455" s="49"/>
      <c r="H455" s="49"/>
    </row>
    <row r="456">
      <c r="A456" s="49"/>
      <c r="H456" s="49"/>
    </row>
    <row r="457">
      <c r="A457" s="49"/>
      <c r="H457" s="49"/>
    </row>
    <row r="458">
      <c r="A458" s="49"/>
      <c r="H458" s="49"/>
    </row>
    <row r="459">
      <c r="A459" s="49"/>
      <c r="H459" s="49"/>
    </row>
    <row r="460">
      <c r="A460" s="49"/>
      <c r="H460" s="49"/>
    </row>
    <row r="461">
      <c r="A461" s="49"/>
      <c r="H461" s="49"/>
    </row>
    <row r="462">
      <c r="A462" s="49"/>
      <c r="H462" s="49"/>
    </row>
    <row r="463">
      <c r="A463" s="49"/>
      <c r="H463" s="49"/>
    </row>
    <row r="464">
      <c r="A464" s="49"/>
      <c r="H464" s="49"/>
    </row>
    <row r="465">
      <c r="A465" s="49"/>
      <c r="H465" s="49"/>
    </row>
    <row r="466">
      <c r="A466" s="49"/>
      <c r="H466" s="49"/>
    </row>
    <row r="467">
      <c r="A467" s="49"/>
      <c r="H467" s="49"/>
    </row>
    <row r="468">
      <c r="A468" s="49"/>
      <c r="H468" s="49"/>
    </row>
    <row r="469">
      <c r="A469" s="49"/>
      <c r="H469" s="49"/>
    </row>
    <row r="470">
      <c r="A470" s="49"/>
      <c r="H470" s="49"/>
    </row>
    <row r="471">
      <c r="A471" s="49"/>
      <c r="H471" s="49"/>
    </row>
    <row r="472">
      <c r="A472" s="49"/>
      <c r="H472" s="49"/>
    </row>
    <row r="473">
      <c r="A473" s="49"/>
      <c r="H473" s="49"/>
    </row>
    <row r="474">
      <c r="A474" s="49"/>
      <c r="H474" s="49"/>
    </row>
    <row r="475">
      <c r="A475" s="49"/>
      <c r="H475" s="49"/>
    </row>
    <row r="476">
      <c r="A476" s="49"/>
      <c r="H476" s="49"/>
    </row>
    <row r="477">
      <c r="A477" s="49"/>
      <c r="H477" s="49"/>
    </row>
    <row r="478">
      <c r="A478" s="49"/>
      <c r="H478" s="49"/>
    </row>
    <row r="479">
      <c r="A479" s="49"/>
      <c r="H479" s="49"/>
    </row>
    <row r="480">
      <c r="A480" s="49"/>
      <c r="H480" s="49"/>
    </row>
    <row r="481">
      <c r="A481" s="49"/>
      <c r="H481" s="49"/>
    </row>
    <row r="482">
      <c r="A482" s="49"/>
      <c r="H482" s="49"/>
    </row>
    <row r="483">
      <c r="A483" s="49"/>
      <c r="H483" s="49"/>
    </row>
    <row r="484">
      <c r="A484" s="49"/>
      <c r="H484" s="49"/>
    </row>
    <row r="485">
      <c r="A485" s="49"/>
      <c r="H485" s="49"/>
    </row>
    <row r="486">
      <c r="A486" s="49"/>
      <c r="H486" s="49"/>
    </row>
    <row r="487">
      <c r="A487" s="49"/>
      <c r="H487" s="49"/>
    </row>
    <row r="488">
      <c r="A488" s="49"/>
      <c r="H488" s="49"/>
    </row>
    <row r="489">
      <c r="A489" s="49"/>
      <c r="H489" s="49"/>
    </row>
    <row r="490">
      <c r="A490" s="49"/>
      <c r="H490" s="49"/>
    </row>
    <row r="491">
      <c r="A491" s="49"/>
      <c r="H491" s="49"/>
    </row>
    <row r="492">
      <c r="A492" s="49"/>
      <c r="H492" s="49"/>
    </row>
    <row r="493">
      <c r="A493" s="49"/>
      <c r="H493" s="49"/>
    </row>
    <row r="494">
      <c r="A494" s="49"/>
      <c r="H494" s="49"/>
    </row>
    <row r="495">
      <c r="A495" s="49"/>
      <c r="H495" s="49"/>
    </row>
    <row r="496">
      <c r="A496" s="49"/>
      <c r="H496" s="49"/>
    </row>
    <row r="497">
      <c r="A497" s="49"/>
      <c r="H497" s="49"/>
    </row>
    <row r="498">
      <c r="A498" s="49"/>
      <c r="H498" s="49"/>
    </row>
    <row r="499">
      <c r="A499" s="49"/>
      <c r="H499" s="49"/>
    </row>
    <row r="500">
      <c r="A500" s="49"/>
      <c r="H500" s="49"/>
    </row>
    <row r="501">
      <c r="A501" s="49"/>
      <c r="H501" s="49"/>
    </row>
    <row r="502">
      <c r="A502" s="49"/>
      <c r="H502" s="49"/>
    </row>
    <row r="503">
      <c r="A503" s="49"/>
      <c r="H503" s="49"/>
    </row>
    <row r="504">
      <c r="A504" s="49"/>
      <c r="H504" s="49"/>
    </row>
    <row r="505">
      <c r="A505" s="49"/>
      <c r="H505" s="49"/>
    </row>
    <row r="506">
      <c r="A506" s="49"/>
      <c r="H506" s="49"/>
    </row>
    <row r="507">
      <c r="A507" s="49"/>
      <c r="H507" s="49"/>
    </row>
    <row r="508">
      <c r="A508" s="49"/>
      <c r="H508" s="49"/>
    </row>
    <row r="509">
      <c r="A509" s="49"/>
      <c r="H509" s="49"/>
    </row>
    <row r="510">
      <c r="A510" s="49"/>
      <c r="H510" s="49"/>
    </row>
    <row r="511">
      <c r="A511" s="49"/>
      <c r="H511" s="49"/>
    </row>
    <row r="512">
      <c r="A512" s="49"/>
      <c r="H512" s="49"/>
    </row>
    <row r="513">
      <c r="A513" s="49"/>
      <c r="H513" s="49"/>
    </row>
    <row r="514">
      <c r="A514" s="49"/>
      <c r="H514" s="49"/>
    </row>
    <row r="515">
      <c r="A515" s="49"/>
      <c r="H515" s="49"/>
    </row>
    <row r="516">
      <c r="A516" s="49"/>
      <c r="H516" s="49"/>
    </row>
    <row r="517">
      <c r="A517" s="49"/>
      <c r="H517" s="49"/>
    </row>
    <row r="518">
      <c r="A518" s="49"/>
      <c r="H518" s="49"/>
    </row>
    <row r="519">
      <c r="A519" s="49"/>
      <c r="H519" s="49"/>
    </row>
    <row r="520">
      <c r="A520" s="49"/>
      <c r="H520" s="49"/>
    </row>
    <row r="521">
      <c r="A521" s="49"/>
      <c r="H521" s="49"/>
    </row>
    <row r="522">
      <c r="A522" s="49"/>
      <c r="H522" s="49"/>
    </row>
    <row r="523">
      <c r="A523" s="49"/>
      <c r="H523" s="49"/>
    </row>
    <row r="524">
      <c r="A524" s="49"/>
      <c r="H524" s="49"/>
    </row>
    <row r="525">
      <c r="A525" s="49"/>
      <c r="H525" s="49"/>
    </row>
    <row r="526">
      <c r="A526" s="49"/>
      <c r="H526" s="49"/>
    </row>
    <row r="527">
      <c r="A527" s="49"/>
      <c r="H527" s="49"/>
    </row>
    <row r="528">
      <c r="A528" s="49"/>
      <c r="H528" s="49"/>
    </row>
    <row r="529">
      <c r="A529" s="49"/>
      <c r="H529" s="49"/>
    </row>
    <row r="530">
      <c r="A530" s="49"/>
      <c r="H530" s="49"/>
    </row>
    <row r="531">
      <c r="A531" s="49"/>
      <c r="H531" s="49"/>
    </row>
    <row r="532">
      <c r="A532" s="49"/>
      <c r="H532" s="49"/>
    </row>
    <row r="533">
      <c r="A533" s="49"/>
      <c r="H533" s="49"/>
    </row>
    <row r="534">
      <c r="A534" s="49"/>
      <c r="H534" s="49"/>
    </row>
    <row r="535">
      <c r="A535" s="49"/>
      <c r="H535" s="49"/>
    </row>
    <row r="536">
      <c r="A536" s="49"/>
      <c r="H536" s="49"/>
    </row>
    <row r="537">
      <c r="A537" s="49"/>
      <c r="H537" s="49"/>
    </row>
    <row r="538">
      <c r="A538" s="49"/>
      <c r="H538" s="49"/>
    </row>
    <row r="539">
      <c r="A539" s="49"/>
      <c r="H539" s="49"/>
    </row>
    <row r="540">
      <c r="A540" s="49"/>
      <c r="H540" s="49"/>
    </row>
    <row r="541">
      <c r="A541" s="49"/>
      <c r="H541" s="49"/>
    </row>
    <row r="542">
      <c r="A542" s="49"/>
      <c r="H542" s="49"/>
    </row>
    <row r="543">
      <c r="A543" s="49"/>
      <c r="H543" s="49"/>
    </row>
    <row r="544">
      <c r="A544" s="49"/>
      <c r="H544" s="49"/>
    </row>
    <row r="545">
      <c r="A545" s="49"/>
      <c r="H545" s="49"/>
    </row>
    <row r="546">
      <c r="A546" s="49"/>
      <c r="H546" s="49"/>
    </row>
    <row r="547">
      <c r="A547" s="49"/>
      <c r="H547" s="49"/>
    </row>
    <row r="548">
      <c r="A548" s="49"/>
      <c r="H548" s="49"/>
    </row>
    <row r="549">
      <c r="A549" s="49"/>
      <c r="H549" s="49"/>
    </row>
    <row r="550">
      <c r="A550" s="49"/>
      <c r="H550" s="49"/>
    </row>
    <row r="551">
      <c r="A551" s="49"/>
      <c r="H551" s="49"/>
    </row>
    <row r="552">
      <c r="A552" s="49"/>
      <c r="H552" s="49"/>
    </row>
    <row r="553">
      <c r="A553" s="49"/>
      <c r="H553" s="49"/>
    </row>
    <row r="554">
      <c r="A554" s="49"/>
      <c r="H554" s="49"/>
    </row>
    <row r="555">
      <c r="A555" s="49"/>
      <c r="H555" s="49"/>
    </row>
    <row r="556">
      <c r="A556" s="49"/>
      <c r="H556" s="49"/>
    </row>
    <row r="557">
      <c r="A557" s="49"/>
      <c r="H557" s="49"/>
    </row>
    <row r="558">
      <c r="A558" s="49"/>
      <c r="H558" s="49"/>
    </row>
    <row r="559">
      <c r="A559" s="49"/>
      <c r="H559" s="49"/>
    </row>
    <row r="560">
      <c r="A560" s="49"/>
      <c r="H560" s="49"/>
    </row>
    <row r="561">
      <c r="A561" s="49"/>
      <c r="H561" s="49"/>
    </row>
    <row r="562">
      <c r="A562" s="49"/>
      <c r="H562" s="49"/>
    </row>
    <row r="563">
      <c r="A563" s="49"/>
      <c r="H563" s="49"/>
    </row>
    <row r="564">
      <c r="A564" s="49"/>
      <c r="H564" s="49"/>
    </row>
    <row r="565">
      <c r="A565" s="49"/>
      <c r="H565" s="49"/>
    </row>
    <row r="566">
      <c r="A566" s="49"/>
      <c r="H566" s="49"/>
    </row>
    <row r="567">
      <c r="A567" s="49"/>
      <c r="H567" s="49"/>
    </row>
    <row r="568">
      <c r="A568" s="49"/>
      <c r="H568" s="49"/>
    </row>
    <row r="569">
      <c r="A569" s="49"/>
      <c r="H569" s="49"/>
    </row>
    <row r="570">
      <c r="A570" s="49"/>
      <c r="H570" s="49"/>
    </row>
    <row r="571">
      <c r="A571" s="49"/>
      <c r="H571" s="49"/>
    </row>
    <row r="572">
      <c r="A572" s="49"/>
      <c r="H572" s="49"/>
    </row>
    <row r="573">
      <c r="A573" s="49"/>
      <c r="H573" s="49"/>
    </row>
    <row r="574">
      <c r="A574" s="49"/>
      <c r="H574" s="49"/>
    </row>
    <row r="575">
      <c r="A575" s="49"/>
      <c r="H575" s="49"/>
    </row>
    <row r="576">
      <c r="A576" s="49"/>
      <c r="H576" s="49"/>
    </row>
    <row r="577">
      <c r="A577" s="49"/>
      <c r="H577" s="49"/>
    </row>
    <row r="578">
      <c r="A578" s="49"/>
      <c r="H578" s="49"/>
    </row>
    <row r="579">
      <c r="A579" s="49"/>
      <c r="H579" s="49"/>
    </row>
    <row r="580">
      <c r="A580" s="49"/>
      <c r="H580" s="49"/>
    </row>
    <row r="581">
      <c r="A581" s="49"/>
      <c r="H581" s="49"/>
    </row>
    <row r="582">
      <c r="A582" s="49"/>
      <c r="H582" s="49"/>
    </row>
    <row r="583">
      <c r="A583" s="49"/>
      <c r="H583" s="49"/>
    </row>
    <row r="584">
      <c r="A584" s="49"/>
      <c r="H584" s="49"/>
    </row>
    <row r="585">
      <c r="A585" s="49"/>
      <c r="H585" s="49"/>
    </row>
    <row r="586">
      <c r="A586" s="49"/>
      <c r="H586" s="49"/>
    </row>
    <row r="587">
      <c r="A587" s="49"/>
      <c r="H587" s="49"/>
    </row>
    <row r="588">
      <c r="A588" s="49"/>
      <c r="H588" s="49"/>
    </row>
    <row r="589">
      <c r="A589" s="49"/>
      <c r="H589" s="49"/>
    </row>
    <row r="590">
      <c r="A590" s="49"/>
      <c r="H590" s="49"/>
    </row>
    <row r="591">
      <c r="A591" s="49"/>
      <c r="H591" s="49"/>
    </row>
    <row r="592">
      <c r="A592" s="49"/>
      <c r="H592" s="49"/>
    </row>
    <row r="593">
      <c r="A593" s="49"/>
      <c r="H593" s="49"/>
    </row>
    <row r="594">
      <c r="A594" s="49"/>
      <c r="H594" s="49"/>
    </row>
    <row r="595">
      <c r="A595" s="49"/>
      <c r="H595" s="49"/>
    </row>
    <row r="596">
      <c r="A596" s="49"/>
      <c r="H596" s="49"/>
    </row>
    <row r="597">
      <c r="A597" s="49"/>
      <c r="H597" s="49"/>
    </row>
    <row r="598">
      <c r="A598" s="49"/>
      <c r="H598" s="49"/>
    </row>
    <row r="599">
      <c r="A599" s="49"/>
      <c r="H599" s="49"/>
    </row>
    <row r="600">
      <c r="A600" s="49"/>
      <c r="H600" s="49"/>
    </row>
    <row r="601">
      <c r="A601" s="49"/>
      <c r="H601" s="49"/>
    </row>
    <row r="602">
      <c r="A602" s="49"/>
      <c r="H602" s="49"/>
    </row>
    <row r="603">
      <c r="A603" s="49"/>
      <c r="H603" s="49"/>
    </row>
    <row r="604">
      <c r="A604" s="49"/>
      <c r="H604" s="49"/>
    </row>
    <row r="605">
      <c r="A605" s="49"/>
      <c r="H605" s="49"/>
    </row>
    <row r="606">
      <c r="A606" s="49"/>
      <c r="H606" s="49"/>
    </row>
    <row r="607">
      <c r="A607" s="49"/>
      <c r="H607" s="49"/>
    </row>
    <row r="608">
      <c r="A608" s="49"/>
      <c r="H608" s="49"/>
    </row>
    <row r="609">
      <c r="A609" s="49"/>
      <c r="H609" s="49"/>
    </row>
    <row r="610">
      <c r="A610" s="49"/>
      <c r="H610" s="49"/>
    </row>
    <row r="611">
      <c r="A611" s="49"/>
      <c r="H611" s="49"/>
    </row>
    <row r="612">
      <c r="A612" s="49"/>
      <c r="H612" s="49"/>
    </row>
    <row r="613">
      <c r="A613" s="49"/>
      <c r="H613" s="49"/>
    </row>
    <row r="614">
      <c r="A614" s="49"/>
      <c r="H614" s="49"/>
    </row>
    <row r="615">
      <c r="A615" s="49"/>
      <c r="H615" s="49"/>
    </row>
    <row r="616">
      <c r="A616" s="49"/>
      <c r="H616" s="49"/>
    </row>
    <row r="617">
      <c r="A617" s="49"/>
      <c r="H617" s="49"/>
    </row>
    <row r="618">
      <c r="A618" s="49"/>
      <c r="H618" s="49"/>
    </row>
    <row r="619">
      <c r="A619" s="49"/>
      <c r="H619" s="49"/>
    </row>
    <row r="620">
      <c r="A620" s="49"/>
      <c r="H620" s="49"/>
    </row>
    <row r="621">
      <c r="A621" s="49"/>
      <c r="H621" s="49"/>
    </row>
    <row r="622">
      <c r="A622" s="49"/>
      <c r="H622" s="49"/>
    </row>
    <row r="623">
      <c r="A623" s="49"/>
      <c r="H623" s="49"/>
    </row>
    <row r="624">
      <c r="A624" s="49"/>
      <c r="H624" s="49"/>
    </row>
    <row r="625">
      <c r="A625" s="49"/>
      <c r="H625" s="49"/>
    </row>
    <row r="626">
      <c r="A626" s="49"/>
      <c r="H626" s="49"/>
    </row>
    <row r="627">
      <c r="A627" s="49"/>
      <c r="H627" s="49"/>
    </row>
    <row r="628">
      <c r="A628" s="49"/>
      <c r="H628" s="49"/>
    </row>
    <row r="629">
      <c r="A629" s="49"/>
      <c r="H629" s="49"/>
    </row>
    <row r="630">
      <c r="A630" s="49"/>
      <c r="H630" s="49"/>
    </row>
    <row r="631">
      <c r="A631" s="49"/>
      <c r="H631" s="49"/>
    </row>
    <row r="632">
      <c r="A632" s="49"/>
      <c r="H632" s="49"/>
    </row>
    <row r="633">
      <c r="A633" s="49"/>
      <c r="H633" s="49"/>
    </row>
    <row r="634">
      <c r="A634" s="49"/>
      <c r="H634" s="49"/>
    </row>
    <row r="635">
      <c r="A635" s="49"/>
      <c r="H635" s="49"/>
    </row>
    <row r="636">
      <c r="A636" s="49"/>
      <c r="H636" s="49"/>
    </row>
    <row r="637">
      <c r="A637" s="49"/>
      <c r="H637" s="49"/>
    </row>
    <row r="638">
      <c r="A638" s="49"/>
      <c r="H638" s="49"/>
    </row>
    <row r="639">
      <c r="A639" s="49"/>
      <c r="H639" s="49"/>
    </row>
    <row r="640">
      <c r="A640" s="49"/>
      <c r="H640" s="49"/>
    </row>
    <row r="641">
      <c r="A641" s="49"/>
      <c r="H641" s="49"/>
    </row>
    <row r="642">
      <c r="A642" s="49"/>
      <c r="H642" s="49"/>
    </row>
    <row r="643">
      <c r="A643" s="49"/>
      <c r="H643" s="49"/>
    </row>
    <row r="644">
      <c r="A644" s="49"/>
      <c r="H644" s="49"/>
    </row>
    <row r="645">
      <c r="A645" s="49"/>
      <c r="H645" s="49"/>
    </row>
    <row r="646">
      <c r="A646" s="49"/>
      <c r="H646" s="49"/>
    </row>
    <row r="647">
      <c r="A647" s="49"/>
      <c r="H647" s="49"/>
    </row>
    <row r="648">
      <c r="A648" s="49"/>
      <c r="H648" s="49"/>
    </row>
    <row r="649">
      <c r="A649" s="49"/>
      <c r="H649" s="49"/>
    </row>
    <row r="650">
      <c r="A650" s="49"/>
      <c r="H650" s="49"/>
    </row>
    <row r="651">
      <c r="A651" s="49"/>
      <c r="H651" s="49"/>
    </row>
    <row r="652">
      <c r="A652" s="49"/>
      <c r="H652" s="49"/>
    </row>
    <row r="653">
      <c r="A653" s="49"/>
      <c r="H653" s="49"/>
    </row>
    <row r="654">
      <c r="A654" s="49"/>
      <c r="H654" s="49"/>
    </row>
    <row r="655">
      <c r="A655" s="49"/>
      <c r="H655" s="49"/>
    </row>
    <row r="656">
      <c r="A656" s="49"/>
      <c r="H656" s="49"/>
    </row>
    <row r="657">
      <c r="A657" s="49"/>
      <c r="H657" s="49"/>
    </row>
    <row r="658">
      <c r="A658" s="49"/>
      <c r="H658" s="49"/>
    </row>
    <row r="659">
      <c r="A659" s="49"/>
      <c r="H659" s="49"/>
    </row>
    <row r="660">
      <c r="A660" s="49"/>
      <c r="H660" s="49"/>
    </row>
    <row r="661">
      <c r="A661" s="49"/>
      <c r="H661" s="49"/>
    </row>
    <row r="662">
      <c r="A662" s="49"/>
      <c r="H662" s="49"/>
    </row>
    <row r="663">
      <c r="A663" s="49"/>
      <c r="H663" s="49"/>
    </row>
    <row r="664">
      <c r="A664" s="49"/>
      <c r="H664" s="49"/>
    </row>
    <row r="665">
      <c r="A665" s="49"/>
      <c r="H665" s="49"/>
    </row>
    <row r="666">
      <c r="A666" s="49"/>
      <c r="H666" s="49"/>
    </row>
    <row r="667">
      <c r="A667" s="49"/>
      <c r="H667" s="49"/>
    </row>
    <row r="668">
      <c r="A668" s="49"/>
      <c r="H668" s="49"/>
    </row>
    <row r="669">
      <c r="A669" s="49"/>
      <c r="H669" s="49"/>
    </row>
    <row r="670">
      <c r="A670" s="49"/>
      <c r="H670" s="49"/>
    </row>
    <row r="671">
      <c r="A671" s="49"/>
      <c r="H671" s="49"/>
    </row>
    <row r="672">
      <c r="A672" s="49"/>
      <c r="H672" s="49"/>
    </row>
    <row r="673">
      <c r="A673" s="49"/>
      <c r="H673" s="49"/>
    </row>
    <row r="674">
      <c r="A674" s="49"/>
      <c r="H674" s="49"/>
    </row>
    <row r="675">
      <c r="A675" s="49"/>
      <c r="H675" s="49"/>
    </row>
    <row r="676">
      <c r="A676" s="49"/>
      <c r="H676" s="49"/>
    </row>
    <row r="677">
      <c r="A677" s="49"/>
      <c r="H677" s="49"/>
    </row>
    <row r="678">
      <c r="A678" s="49"/>
      <c r="H678" s="49"/>
    </row>
    <row r="679">
      <c r="A679" s="49"/>
      <c r="H679" s="49"/>
    </row>
    <row r="680">
      <c r="A680" s="49"/>
      <c r="H680" s="49"/>
    </row>
    <row r="681">
      <c r="A681" s="49"/>
      <c r="H681" s="49"/>
    </row>
    <row r="682">
      <c r="A682" s="49"/>
      <c r="H682" s="49"/>
    </row>
    <row r="683">
      <c r="A683" s="49"/>
      <c r="H683" s="49"/>
    </row>
    <row r="684">
      <c r="A684" s="49"/>
      <c r="H684" s="49"/>
    </row>
    <row r="685">
      <c r="A685" s="49"/>
      <c r="H685" s="49"/>
    </row>
    <row r="686">
      <c r="A686" s="49"/>
      <c r="H686" s="49"/>
    </row>
    <row r="687">
      <c r="A687" s="49"/>
      <c r="H687" s="49"/>
    </row>
    <row r="688">
      <c r="A688" s="49"/>
      <c r="H688" s="49"/>
    </row>
    <row r="689">
      <c r="A689" s="49"/>
      <c r="H689" s="49"/>
    </row>
    <row r="690">
      <c r="A690" s="49"/>
      <c r="H690" s="49"/>
    </row>
    <row r="691">
      <c r="A691" s="49"/>
      <c r="H691" s="49"/>
    </row>
    <row r="692">
      <c r="A692" s="49"/>
      <c r="H692" s="49"/>
    </row>
    <row r="693">
      <c r="A693" s="49"/>
      <c r="H693" s="49"/>
    </row>
    <row r="694">
      <c r="A694" s="49"/>
      <c r="H694" s="49"/>
    </row>
    <row r="695">
      <c r="A695" s="49"/>
      <c r="H695" s="49"/>
    </row>
    <row r="696">
      <c r="A696" s="49"/>
      <c r="H696" s="49"/>
    </row>
    <row r="697">
      <c r="A697" s="49"/>
      <c r="H697" s="49"/>
    </row>
    <row r="698">
      <c r="A698" s="49"/>
      <c r="H698" s="49"/>
    </row>
    <row r="699">
      <c r="A699" s="49"/>
      <c r="H699" s="49"/>
    </row>
    <row r="700">
      <c r="A700" s="49"/>
      <c r="H700" s="49"/>
    </row>
    <row r="701">
      <c r="A701" s="49"/>
      <c r="H701" s="49"/>
    </row>
    <row r="702">
      <c r="A702" s="49"/>
      <c r="H702" s="49"/>
    </row>
    <row r="703">
      <c r="A703" s="49"/>
      <c r="H703" s="49"/>
    </row>
    <row r="704">
      <c r="A704" s="49"/>
      <c r="H704" s="49"/>
    </row>
    <row r="705">
      <c r="A705" s="49"/>
      <c r="H705" s="49"/>
    </row>
    <row r="706">
      <c r="A706" s="49"/>
      <c r="H706" s="49"/>
    </row>
    <row r="707">
      <c r="A707" s="49"/>
      <c r="H707" s="49"/>
    </row>
    <row r="708">
      <c r="A708" s="49"/>
      <c r="H708" s="49"/>
    </row>
    <row r="709">
      <c r="A709" s="49"/>
      <c r="H709" s="49"/>
    </row>
    <row r="710">
      <c r="A710" s="49"/>
      <c r="H710" s="49"/>
    </row>
    <row r="711">
      <c r="A711" s="49"/>
      <c r="H711" s="49"/>
    </row>
    <row r="712">
      <c r="A712" s="49"/>
      <c r="H712" s="49"/>
    </row>
    <row r="713">
      <c r="A713" s="49"/>
      <c r="H713" s="49"/>
    </row>
    <row r="714">
      <c r="A714" s="49"/>
      <c r="H714" s="49"/>
    </row>
    <row r="715">
      <c r="A715" s="49"/>
      <c r="H715" s="49"/>
    </row>
    <row r="716">
      <c r="A716" s="49"/>
      <c r="H716" s="49"/>
    </row>
    <row r="717">
      <c r="A717" s="49"/>
      <c r="H717" s="49"/>
    </row>
    <row r="718">
      <c r="A718" s="49"/>
      <c r="H718" s="49"/>
    </row>
    <row r="719">
      <c r="A719" s="49"/>
      <c r="H719" s="49"/>
    </row>
    <row r="720">
      <c r="A720" s="49"/>
      <c r="H720" s="49"/>
    </row>
    <row r="721">
      <c r="A721" s="49"/>
      <c r="H721" s="49"/>
    </row>
    <row r="722">
      <c r="A722" s="49"/>
      <c r="H722" s="49"/>
    </row>
    <row r="723">
      <c r="A723" s="49"/>
      <c r="H723" s="49"/>
    </row>
    <row r="724">
      <c r="A724" s="49"/>
      <c r="H724" s="49"/>
    </row>
    <row r="725">
      <c r="A725" s="49"/>
      <c r="H725" s="49"/>
    </row>
    <row r="726">
      <c r="A726" s="49"/>
      <c r="H726" s="49"/>
    </row>
    <row r="727">
      <c r="A727" s="49"/>
      <c r="H727" s="49"/>
    </row>
    <row r="728">
      <c r="A728" s="49"/>
      <c r="H728" s="49"/>
    </row>
    <row r="729">
      <c r="A729" s="49"/>
      <c r="H729" s="49"/>
    </row>
    <row r="730">
      <c r="A730" s="49"/>
      <c r="H730" s="49"/>
    </row>
    <row r="731">
      <c r="A731" s="49"/>
      <c r="H731" s="49"/>
    </row>
    <row r="732">
      <c r="A732" s="49"/>
      <c r="H732" s="49"/>
    </row>
    <row r="733">
      <c r="A733" s="49"/>
      <c r="H733" s="49"/>
    </row>
    <row r="734">
      <c r="A734" s="49"/>
      <c r="H734" s="49"/>
    </row>
    <row r="735">
      <c r="A735" s="49"/>
      <c r="H735" s="49"/>
    </row>
    <row r="736">
      <c r="A736" s="49"/>
      <c r="H736" s="49"/>
    </row>
    <row r="737">
      <c r="A737" s="49"/>
      <c r="H737" s="49"/>
    </row>
    <row r="738">
      <c r="A738" s="49"/>
      <c r="H738" s="49"/>
    </row>
    <row r="739">
      <c r="A739" s="49"/>
      <c r="H739" s="49"/>
    </row>
    <row r="740">
      <c r="A740" s="49"/>
      <c r="H740" s="49"/>
    </row>
    <row r="741">
      <c r="A741" s="49"/>
      <c r="H741" s="49"/>
    </row>
    <row r="742">
      <c r="A742" s="49"/>
      <c r="H742" s="49"/>
    </row>
    <row r="743">
      <c r="A743" s="49"/>
      <c r="H743" s="49"/>
    </row>
    <row r="744">
      <c r="A744" s="49"/>
      <c r="H744" s="49"/>
    </row>
    <row r="745">
      <c r="A745" s="49"/>
      <c r="H745" s="49"/>
    </row>
    <row r="746">
      <c r="A746" s="49"/>
      <c r="H746" s="49"/>
    </row>
    <row r="747">
      <c r="A747" s="49"/>
      <c r="H747" s="49"/>
    </row>
    <row r="748">
      <c r="A748" s="49"/>
      <c r="H748" s="49"/>
    </row>
    <row r="749">
      <c r="A749" s="49"/>
      <c r="H749" s="49"/>
    </row>
    <row r="750">
      <c r="A750" s="49"/>
      <c r="H750" s="49"/>
    </row>
    <row r="751">
      <c r="A751" s="49"/>
      <c r="H751" s="49"/>
    </row>
    <row r="752">
      <c r="A752" s="49"/>
      <c r="H752" s="49"/>
    </row>
    <row r="753">
      <c r="A753" s="49"/>
      <c r="H753" s="49"/>
    </row>
    <row r="754">
      <c r="A754" s="49"/>
      <c r="H754" s="49"/>
    </row>
    <row r="755">
      <c r="A755" s="49"/>
      <c r="H755" s="49"/>
    </row>
    <row r="756">
      <c r="A756" s="49"/>
      <c r="H756" s="49"/>
    </row>
    <row r="757">
      <c r="A757" s="49"/>
      <c r="H757" s="49"/>
    </row>
    <row r="758">
      <c r="A758" s="49"/>
      <c r="H758" s="49"/>
    </row>
    <row r="759">
      <c r="A759" s="49"/>
      <c r="H759" s="49"/>
    </row>
    <row r="760">
      <c r="A760" s="49"/>
      <c r="H760" s="49"/>
    </row>
    <row r="761">
      <c r="A761" s="49"/>
      <c r="H761" s="49"/>
    </row>
    <row r="762">
      <c r="A762" s="49"/>
      <c r="H762" s="49"/>
    </row>
    <row r="763">
      <c r="A763" s="49"/>
      <c r="H763" s="49"/>
    </row>
    <row r="764">
      <c r="A764" s="49"/>
      <c r="H764" s="49"/>
    </row>
    <row r="765">
      <c r="A765" s="49"/>
      <c r="H765" s="49"/>
    </row>
    <row r="766">
      <c r="A766" s="49"/>
      <c r="H766" s="49"/>
    </row>
    <row r="767">
      <c r="A767" s="49"/>
      <c r="H767" s="49"/>
    </row>
    <row r="768">
      <c r="A768" s="49"/>
      <c r="H768" s="49"/>
    </row>
    <row r="769">
      <c r="A769" s="49"/>
      <c r="H769" s="49"/>
    </row>
    <row r="770">
      <c r="A770" s="49"/>
      <c r="H770" s="49"/>
    </row>
    <row r="771">
      <c r="A771" s="49"/>
      <c r="H771" s="49"/>
    </row>
    <row r="772">
      <c r="A772" s="49"/>
      <c r="H772" s="49"/>
    </row>
    <row r="773">
      <c r="A773" s="49"/>
      <c r="H773" s="49"/>
    </row>
    <row r="774">
      <c r="A774" s="49"/>
      <c r="H774" s="49"/>
    </row>
    <row r="775">
      <c r="A775" s="49"/>
      <c r="H775" s="49"/>
    </row>
    <row r="776">
      <c r="A776" s="49"/>
      <c r="H776" s="49"/>
    </row>
    <row r="777">
      <c r="A777" s="49"/>
      <c r="H777" s="49"/>
    </row>
    <row r="778">
      <c r="A778" s="49"/>
      <c r="H778" s="49"/>
    </row>
    <row r="779">
      <c r="A779" s="49"/>
      <c r="H779" s="49"/>
    </row>
    <row r="780">
      <c r="A780" s="49"/>
      <c r="H780" s="49"/>
    </row>
    <row r="781">
      <c r="A781" s="49"/>
      <c r="H781" s="49"/>
    </row>
    <row r="782">
      <c r="A782" s="49"/>
      <c r="H782" s="49"/>
    </row>
    <row r="783">
      <c r="A783" s="49"/>
      <c r="H783" s="49"/>
    </row>
    <row r="784">
      <c r="A784" s="49"/>
      <c r="H784" s="49"/>
    </row>
    <row r="785">
      <c r="A785" s="49"/>
      <c r="H785" s="49"/>
    </row>
    <row r="786">
      <c r="A786" s="49"/>
      <c r="H786" s="49"/>
    </row>
    <row r="787">
      <c r="A787" s="49"/>
      <c r="H787" s="49"/>
    </row>
    <row r="788">
      <c r="A788" s="49"/>
      <c r="H788" s="49"/>
    </row>
    <row r="789">
      <c r="A789" s="49"/>
      <c r="H789" s="49"/>
    </row>
    <row r="790">
      <c r="A790" s="49"/>
      <c r="H790" s="49"/>
    </row>
    <row r="791">
      <c r="A791" s="49"/>
      <c r="H791" s="49"/>
    </row>
    <row r="792">
      <c r="A792" s="49"/>
      <c r="H792" s="49"/>
    </row>
    <row r="793">
      <c r="A793" s="49"/>
      <c r="H793" s="49"/>
    </row>
    <row r="794">
      <c r="A794" s="49"/>
      <c r="H794" s="49"/>
    </row>
    <row r="795">
      <c r="A795" s="49"/>
      <c r="H795" s="49"/>
    </row>
    <row r="796">
      <c r="A796" s="49"/>
      <c r="H796" s="49"/>
    </row>
    <row r="797">
      <c r="A797" s="49"/>
      <c r="H797" s="49"/>
    </row>
    <row r="798">
      <c r="A798" s="49"/>
      <c r="H798" s="49"/>
    </row>
    <row r="799">
      <c r="A799" s="49"/>
      <c r="H799" s="49"/>
    </row>
    <row r="800">
      <c r="A800" s="49"/>
      <c r="H800" s="49"/>
    </row>
    <row r="801">
      <c r="A801" s="49"/>
      <c r="H801" s="49"/>
    </row>
    <row r="802">
      <c r="A802" s="49"/>
      <c r="H802" s="49"/>
    </row>
    <row r="803">
      <c r="A803" s="49"/>
      <c r="H803" s="49"/>
    </row>
    <row r="804">
      <c r="A804" s="49"/>
      <c r="H804" s="49"/>
    </row>
    <row r="805">
      <c r="A805" s="49"/>
      <c r="H805" s="49"/>
    </row>
    <row r="806">
      <c r="A806" s="49"/>
      <c r="H806" s="49"/>
    </row>
    <row r="807">
      <c r="A807" s="49"/>
      <c r="H807" s="49"/>
    </row>
    <row r="808">
      <c r="A808" s="49"/>
      <c r="H808" s="49"/>
    </row>
    <row r="809">
      <c r="A809" s="49"/>
      <c r="H809" s="49"/>
    </row>
    <row r="810">
      <c r="A810" s="49"/>
      <c r="H810" s="49"/>
    </row>
    <row r="811">
      <c r="A811" s="49"/>
      <c r="H811" s="49"/>
    </row>
    <row r="812">
      <c r="A812" s="49"/>
      <c r="H812" s="49"/>
    </row>
    <row r="813">
      <c r="A813" s="49"/>
      <c r="H813" s="49"/>
    </row>
    <row r="814">
      <c r="A814" s="49"/>
      <c r="H814" s="49"/>
    </row>
    <row r="815">
      <c r="A815" s="49"/>
      <c r="H815" s="49"/>
    </row>
    <row r="816">
      <c r="A816" s="49"/>
      <c r="H816" s="49"/>
    </row>
    <row r="817">
      <c r="A817" s="49"/>
      <c r="H817" s="49"/>
    </row>
    <row r="818">
      <c r="A818" s="49"/>
      <c r="H818" s="49"/>
    </row>
    <row r="819">
      <c r="A819" s="49"/>
      <c r="H819" s="49"/>
    </row>
    <row r="820">
      <c r="A820" s="49"/>
      <c r="H820" s="49"/>
    </row>
    <row r="821">
      <c r="A821" s="49"/>
      <c r="H821" s="49"/>
    </row>
    <row r="822">
      <c r="A822" s="49"/>
      <c r="H822" s="49"/>
    </row>
    <row r="823">
      <c r="A823" s="49"/>
      <c r="H823" s="49"/>
    </row>
    <row r="824">
      <c r="A824" s="49"/>
      <c r="H824" s="49"/>
    </row>
    <row r="825">
      <c r="A825" s="49"/>
      <c r="H825" s="49"/>
    </row>
    <row r="826">
      <c r="A826" s="49"/>
      <c r="H826" s="49"/>
    </row>
    <row r="827">
      <c r="A827" s="49"/>
      <c r="H827" s="49"/>
    </row>
    <row r="828">
      <c r="A828" s="49"/>
      <c r="H828" s="49"/>
    </row>
    <row r="829">
      <c r="A829" s="49"/>
      <c r="H829" s="49"/>
    </row>
    <row r="830">
      <c r="A830" s="49"/>
      <c r="H830" s="49"/>
    </row>
    <row r="831">
      <c r="A831" s="49"/>
      <c r="H831" s="49"/>
    </row>
    <row r="832">
      <c r="A832" s="49"/>
      <c r="H832" s="49"/>
    </row>
    <row r="833">
      <c r="A833" s="49"/>
      <c r="H833" s="49"/>
    </row>
    <row r="834">
      <c r="A834" s="49"/>
      <c r="H834" s="49"/>
    </row>
    <row r="835">
      <c r="A835" s="49"/>
      <c r="H835" s="49"/>
    </row>
    <row r="836">
      <c r="A836" s="49"/>
      <c r="H836" s="49"/>
    </row>
    <row r="837">
      <c r="A837" s="49"/>
      <c r="H837" s="49"/>
    </row>
    <row r="838">
      <c r="A838" s="49"/>
      <c r="H838" s="49"/>
    </row>
    <row r="839">
      <c r="A839" s="49"/>
      <c r="H839" s="49"/>
    </row>
    <row r="840">
      <c r="A840" s="49"/>
      <c r="H840" s="49"/>
    </row>
    <row r="841">
      <c r="A841" s="49"/>
      <c r="H841" s="49"/>
    </row>
    <row r="842">
      <c r="A842" s="49"/>
      <c r="H842" s="49"/>
    </row>
    <row r="843">
      <c r="A843" s="49"/>
      <c r="H843" s="49"/>
    </row>
    <row r="844">
      <c r="A844" s="49"/>
      <c r="H844" s="49"/>
    </row>
    <row r="845">
      <c r="A845" s="49"/>
      <c r="H845" s="49"/>
    </row>
    <row r="846">
      <c r="A846" s="49"/>
      <c r="H846" s="49"/>
    </row>
    <row r="847">
      <c r="A847" s="49"/>
      <c r="H847" s="49"/>
    </row>
    <row r="848">
      <c r="A848" s="49"/>
      <c r="H848" s="49"/>
    </row>
    <row r="849">
      <c r="A849" s="49"/>
      <c r="H849" s="49"/>
    </row>
    <row r="850">
      <c r="A850" s="49"/>
      <c r="H850" s="49"/>
    </row>
    <row r="851">
      <c r="A851" s="49"/>
      <c r="H851" s="49"/>
    </row>
    <row r="852">
      <c r="A852" s="49"/>
      <c r="H852" s="49"/>
    </row>
    <row r="853">
      <c r="A853" s="49"/>
      <c r="H853" s="49"/>
    </row>
    <row r="854">
      <c r="A854" s="49"/>
      <c r="H854" s="49"/>
    </row>
    <row r="855">
      <c r="A855" s="49"/>
      <c r="H855" s="49"/>
    </row>
    <row r="856">
      <c r="A856" s="49"/>
      <c r="H856" s="49"/>
    </row>
    <row r="857">
      <c r="A857" s="49"/>
      <c r="H857" s="49"/>
    </row>
    <row r="858">
      <c r="A858" s="49"/>
      <c r="H858" s="49"/>
    </row>
    <row r="859">
      <c r="A859" s="49"/>
      <c r="H859" s="49"/>
    </row>
    <row r="860">
      <c r="A860" s="49"/>
      <c r="H860" s="49"/>
    </row>
    <row r="861">
      <c r="A861" s="49"/>
      <c r="H861" s="49"/>
    </row>
    <row r="862">
      <c r="A862" s="49"/>
      <c r="H862" s="49"/>
    </row>
    <row r="863">
      <c r="A863" s="49"/>
      <c r="H863" s="49"/>
    </row>
    <row r="864">
      <c r="A864" s="49"/>
      <c r="H864" s="49"/>
    </row>
    <row r="865">
      <c r="A865" s="49"/>
      <c r="H865" s="49"/>
    </row>
    <row r="866">
      <c r="A866" s="49"/>
      <c r="H866" s="49"/>
    </row>
    <row r="867">
      <c r="A867" s="49"/>
      <c r="H867" s="49"/>
    </row>
    <row r="868">
      <c r="A868" s="49"/>
      <c r="H868" s="49"/>
    </row>
    <row r="869">
      <c r="A869" s="49"/>
      <c r="H869" s="49"/>
    </row>
    <row r="870">
      <c r="A870" s="49"/>
      <c r="H870" s="49"/>
    </row>
    <row r="871">
      <c r="A871" s="49"/>
      <c r="H871" s="49"/>
    </row>
    <row r="872">
      <c r="A872" s="49"/>
      <c r="H872" s="49"/>
    </row>
    <row r="873">
      <c r="A873" s="49"/>
      <c r="H873" s="49"/>
    </row>
    <row r="874">
      <c r="A874" s="49"/>
      <c r="H874" s="49"/>
    </row>
    <row r="875">
      <c r="A875" s="49"/>
      <c r="H875" s="49"/>
    </row>
    <row r="876">
      <c r="A876" s="49"/>
      <c r="H876" s="49"/>
    </row>
    <row r="877">
      <c r="A877" s="49"/>
      <c r="H877" s="49"/>
    </row>
    <row r="878">
      <c r="A878" s="49"/>
      <c r="H878" s="49"/>
    </row>
    <row r="879">
      <c r="A879" s="49"/>
      <c r="H879" s="49"/>
    </row>
    <row r="880">
      <c r="A880" s="49"/>
      <c r="H880" s="49"/>
    </row>
    <row r="881">
      <c r="A881" s="49"/>
      <c r="H881" s="49"/>
    </row>
    <row r="882">
      <c r="A882" s="49"/>
      <c r="H882" s="49"/>
    </row>
    <row r="883">
      <c r="A883" s="49"/>
      <c r="H883" s="49"/>
    </row>
    <row r="884">
      <c r="A884" s="49"/>
      <c r="H884" s="49"/>
    </row>
    <row r="885">
      <c r="A885" s="49"/>
      <c r="H885" s="49"/>
    </row>
    <row r="886">
      <c r="A886" s="49"/>
      <c r="H886" s="49"/>
    </row>
    <row r="887">
      <c r="A887" s="49"/>
      <c r="H887" s="49"/>
    </row>
    <row r="888">
      <c r="A888" s="49"/>
      <c r="H888" s="49"/>
    </row>
    <row r="889">
      <c r="A889" s="49"/>
      <c r="H889" s="49"/>
    </row>
    <row r="890">
      <c r="A890" s="49"/>
      <c r="H890" s="49"/>
    </row>
    <row r="891">
      <c r="A891" s="49"/>
      <c r="H891" s="49"/>
    </row>
    <row r="892">
      <c r="A892" s="49"/>
      <c r="H892" s="49"/>
    </row>
    <row r="893">
      <c r="A893" s="49"/>
      <c r="H893" s="49"/>
    </row>
    <row r="894">
      <c r="A894" s="49"/>
      <c r="H894" s="49"/>
    </row>
    <row r="895">
      <c r="A895" s="49"/>
      <c r="H895" s="49"/>
    </row>
    <row r="896">
      <c r="A896" s="49"/>
      <c r="H896" s="49"/>
    </row>
    <row r="897">
      <c r="A897" s="49"/>
      <c r="H897" s="49"/>
    </row>
    <row r="898">
      <c r="A898" s="49"/>
      <c r="H898" s="49"/>
    </row>
    <row r="899">
      <c r="A899" s="49"/>
      <c r="H899" s="49"/>
    </row>
    <row r="900">
      <c r="A900" s="49"/>
      <c r="H900" s="49"/>
    </row>
    <row r="901">
      <c r="A901" s="49"/>
      <c r="H901" s="49"/>
    </row>
    <row r="902">
      <c r="A902" s="49"/>
      <c r="H902" s="49"/>
    </row>
    <row r="903">
      <c r="A903" s="49"/>
      <c r="H903" s="49"/>
    </row>
    <row r="904">
      <c r="A904" s="49"/>
      <c r="H904" s="49"/>
    </row>
    <row r="905">
      <c r="A905" s="49"/>
      <c r="H905" s="49"/>
    </row>
    <row r="906">
      <c r="A906" s="49"/>
      <c r="H906" s="49"/>
    </row>
    <row r="907">
      <c r="A907" s="49"/>
      <c r="H907" s="49"/>
    </row>
    <row r="908">
      <c r="A908" s="49"/>
      <c r="H908" s="49"/>
    </row>
    <row r="909">
      <c r="A909" s="49"/>
      <c r="H909" s="49"/>
    </row>
    <row r="910">
      <c r="A910" s="49"/>
      <c r="H910" s="49"/>
    </row>
    <row r="911">
      <c r="A911" s="49"/>
      <c r="H911" s="49"/>
    </row>
    <row r="912">
      <c r="A912" s="49"/>
      <c r="H912" s="49"/>
    </row>
    <row r="913">
      <c r="A913" s="49"/>
      <c r="H913" s="49"/>
    </row>
    <row r="914">
      <c r="A914" s="49"/>
      <c r="H914" s="49"/>
    </row>
    <row r="915">
      <c r="A915" s="49"/>
      <c r="H915" s="49"/>
    </row>
    <row r="916">
      <c r="A916" s="49"/>
      <c r="H916" s="49"/>
    </row>
    <row r="917">
      <c r="A917" s="49"/>
      <c r="H917" s="49"/>
    </row>
    <row r="918">
      <c r="A918" s="49"/>
      <c r="H918" s="49"/>
    </row>
    <row r="919">
      <c r="A919" s="49"/>
      <c r="H919" s="49"/>
    </row>
    <row r="920">
      <c r="A920" s="49"/>
      <c r="H920" s="49"/>
    </row>
    <row r="921">
      <c r="A921" s="49"/>
      <c r="H921" s="49"/>
    </row>
    <row r="922">
      <c r="A922" s="49"/>
      <c r="H922" s="49"/>
    </row>
    <row r="923">
      <c r="A923" s="49"/>
      <c r="H923" s="49"/>
    </row>
    <row r="924">
      <c r="A924" s="49"/>
      <c r="H924" s="49"/>
    </row>
    <row r="925">
      <c r="A925" s="49"/>
      <c r="H925" s="49"/>
    </row>
    <row r="926">
      <c r="A926" s="49"/>
      <c r="H926" s="49"/>
    </row>
    <row r="927">
      <c r="A927" s="49"/>
      <c r="H927" s="49"/>
    </row>
    <row r="928">
      <c r="A928" s="49"/>
      <c r="H928" s="49"/>
    </row>
    <row r="929">
      <c r="A929" s="49"/>
      <c r="H929" s="49"/>
    </row>
    <row r="930">
      <c r="A930" s="49"/>
      <c r="H930" s="49"/>
    </row>
    <row r="931">
      <c r="A931" s="49"/>
      <c r="H931" s="49"/>
    </row>
    <row r="932">
      <c r="A932" s="49"/>
      <c r="H932" s="49"/>
    </row>
    <row r="933">
      <c r="A933" s="49"/>
      <c r="H933" s="49"/>
    </row>
    <row r="934">
      <c r="A934" s="49"/>
      <c r="H934" s="49"/>
    </row>
    <row r="935">
      <c r="A935" s="49"/>
      <c r="H935" s="49"/>
    </row>
    <row r="936">
      <c r="A936" s="49"/>
      <c r="H936" s="49"/>
    </row>
    <row r="937">
      <c r="A937" s="49"/>
      <c r="H937" s="49"/>
    </row>
    <row r="938">
      <c r="A938" s="49"/>
      <c r="H938" s="49"/>
    </row>
    <row r="939">
      <c r="A939" s="49"/>
      <c r="H939" s="49"/>
    </row>
    <row r="940">
      <c r="A940" s="49"/>
      <c r="H940" s="49"/>
    </row>
    <row r="941">
      <c r="A941" s="49"/>
      <c r="H941" s="49"/>
    </row>
    <row r="942">
      <c r="A942" s="49"/>
      <c r="H942" s="49"/>
    </row>
    <row r="943">
      <c r="A943" s="49"/>
      <c r="H943" s="49"/>
    </row>
    <row r="944">
      <c r="A944" s="49"/>
      <c r="H944" s="49"/>
    </row>
    <row r="945">
      <c r="A945" s="49"/>
      <c r="H945" s="49"/>
    </row>
    <row r="946">
      <c r="A946" s="49"/>
      <c r="H946" s="49"/>
    </row>
    <row r="947">
      <c r="A947" s="49"/>
      <c r="H947" s="49"/>
    </row>
    <row r="948">
      <c r="A948" s="49"/>
      <c r="H948" s="49"/>
    </row>
    <row r="949">
      <c r="A949" s="49"/>
      <c r="H949" s="49"/>
    </row>
    <row r="950">
      <c r="A950" s="49"/>
      <c r="H950" s="49"/>
    </row>
    <row r="951">
      <c r="A951" s="49"/>
      <c r="H951" s="49"/>
    </row>
    <row r="952">
      <c r="A952" s="49"/>
      <c r="H952" s="49"/>
    </row>
    <row r="953">
      <c r="A953" s="49"/>
      <c r="H953" s="49"/>
    </row>
    <row r="954">
      <c r="A954" s="49"/>
      <c r="H954" s="49"/>
    </row>
    <row r="955">
      <c r="A955" s="49"/>
      <c r="H955" s="49"/>
    </row>
    <row r="956">
      <c r="A956" s="49"/>
      <c r="H956" s="49"/>
    </row>
    <row r="957">
      <c r="A957" s="49"/>
      <c r="H957" s="49"/>
    </row>
    <row r="958">
      <c r="A958" s="49"/>
      <c r="H958" s="49"/>
    </row>
    <row r="959">
      <c r="A959" s="49"/>
      <c r="H959" s="49"/>
    </row>
    <row r="960">
      <c r="A960" s="49"/>
      <c r="H960" s="49"/>
    </row>
    <row r="961">
      <c r="A961" s="49"/>
      <c r="H961" s="49"/>
    </row>
    <row r="962">
      <c r="A962" s="49"/>
      <c r="H962" s="49"/>
    </row>
    <row r="963">
      <c r="A963" s="49"/>
      <c r="H963" s="49"/>
    </row>
    <row r="964">
      <c r="A964" s="49"/>
      <c r="H964" s="49"/>
    </row>
    <row r="965">
      <c r="A965" s="49"/>
      <c r="H965" s="49"/>
    </row>
    <row r="966">
      <c r="A966" s="49"/>
      <c r="H966" s="49"/>
    </row>
    <row r="967">
      <c r="A967" s="49"/>
      <c r="H967" s="49"/>
    </row>
    <row r="968">
      <c r="A968" s="49"/>
      <c r="H968" s="49"/>
    </row>
    <row r="969">
      <c r="A969" s="49"/>
      <c r="H969" s="49"/>
    </row>
    <row r="970">
      <c r="A970" s="49"/>
      <c r="H970" s="49"/>
    </row>
    <row r="971">
      <c r="A971" s="49"/>
      <c r="H971" s="49"/>
    </row>
    <row r="972">
      <c r="A972" s="49"/>
      <c r="H972" s="49"/>
    </row>
    <row r="973">
      <c r="A973" s="49"/>
      <c r="H973" s="49"/>
    </row>
    <row r="974">
      <c r="A974" s="49"/>
      <c r="H974" s="49"/>
    </row>
    <row r="975">
      <c r="A975" s="49"/>
      <c r="H975" s="49"/>
    </row>
    <row r="976">
      <c r="A976" s="49"/>
      <c r="H976" s="49"/>
    </row>
    <row r="977">
      <c r="A977" s="49"/>
      <c r="H977" s="49"/>
    </row>
    <row r="978">
      <c r="A978" s="49"/>
      <c r="H978" s="49"/>
    </row>
    <row r="979">
      <c r="A979" s="49"/>
      <c r="H979" s="49"/>
    </row>
    <row r="980">
      <c r="A980" s="49"/>
      <c r="H980" s="49"/>
    </row>
    <row r="981">
      <c r="A981" s="49"/>
      <c r="H981" s="49"/>
    </row>
    <row r="982">
      <c r="A982" s="49"/>
      <c r="H982" s="49"/>
    </row>
    <row r="983">
      <c r="A983" s="49"/>
      <c r="H983" s="49"/>
    </row>
    <row r="984">
      <c r="A984" s="49"/>
      <c r="H984" s="49"/>
    </row>
    <row r="985">
      <c r="A985" s="49"/>
      <c r="H985" s="49"/>
    </row>
    <row r="986">
      <c r="A986" s="49"/>
      <c r="H986" s="49"/>
    </row>
    <row r="987">
      <c r="A987" s="49"/>
      <c r="H987" s="49"/>
    </row>
    <row r="988">
      <c r="A988" s="49"/>
      <c r="H988" s="49"/>
    </row>
    <row r="989">
      <c r="A989" s="49"/>
      <c r="H989" s="49"/>
    </row>
    <row r="990">
      <c r="A990" s="49"/>
      <c r="H990" s="49"/>
    </row>
    <row r="991">
      <c r="A991" s="49"/>
      <c r="H991" s="49"/>
    </row>
    <row r="992">
      <c r="A992" s="49"/>
      <c r="H992" s="49"/>
    </row>
    <row r="993">
      <c r="A993" s="49"/>
      <c r="H993" s="49"/>
    </row>
    <row r="994">
      <c r="A994" s="49"/>
      <c r="H994" s="49"/>
    </row>
    <row r="995">
      <c r="A995" s="49"/>
      <c r="H995" s="49"/>
    </row>
    <row r="996">
      <c r="A996" s="49"/>
      <c r="H996" s="49"/>
    </row>
    <row r="997">
      <c r="A997" s="49"/>
      <c r="H997" s="49"/>
    </row>
    <row r="998">
      <c r="A998" s="49"/>
      <c r="H998" s="49"/>
    </row>
    <row r="999">
      <c r="A999" s="49"/>
      <c r="H999" s="49"/>
    </row>
    <row r="1000">
      <c r="A1000" s="49"/>
      <c r="H1000" s="49"/>
    </row>
  </sheetData>
  <drawing r:id="rId1"/>
</worksheet>
</file>